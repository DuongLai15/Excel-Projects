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C:\Users\PC\Documents\Cá nhân\DA\Excel\Excel projects\Gym Tracker\"/>
    </mc:Choice>
  </mc:AlternateContent>
  <xr:revisionPtr revIDLastSave="0" documentId="13_ncr:1_{6A52A7E5-2C87-46AD-A8A8-6497D58D1D24}" xr6:coauthVersionLast="47" xr6:coauthVersionMax="47" xr10:uidLastSave="{00000000-0000-0000-0000-000000000000}"/>
  <bookViews>
    <workbookView xWindow="-120" yWindow="-120" windowWidth="29040" windowHeight="15720" activeTab="7" xr2:uid="{00000000-000D-0000-FFFF-FFFF00000000}"/>
  </bookViews>
  <sheets>
    <sheet name="Thông Tin Đồ Ăn" sheetId="1" r:id="rId1"/>
    <sheet name="Đồ Mình Ăn" sheetId="2" r:id="rId2"/>
    <sheet name="Track Calo và Weight" sheetId="4" r:id="rId3"/>
    <sheet name="Report Calo n Weight" sheetId="9" r:id="rId4"/>
    <sheet name="Sheet4" sheetId="7" state="hidden" r:id="rId5"/>
    <sheet name="Các Bài Tập" sheetId="15" r:id="rId6"/>
    <sheet name="Lịch Tập" sheetId="11" r:id="rId7"/>
    <sheet name="Report Volume n Set" sheetId="14" r:id="rId8"/>
    <sheet name="Sheet5" sheetId="13" state="hidden" r:id="rId9"/>
    <sheet name="Sheet3" sheetId="12" state="hidden" r:id="rId10"/>
  </sheets>
  <definedNames>
    <definedName name="_xlnm._FilterDatabase" localSheetId="0" hidden="1">'Thông Tin Đồ Ăn'!$B$3:$G$106</definedName>
    <definedName name="Slicer_Buổi_tập1">#N/A</definedName>
    <definedName name="Slicer_Date">#N/A</definedName>
    <definedName name="Slicer_Nhóm_cơ1">#N/A</definedName>
    <definedName name="Slicer_Tháng">#N/A</definedName>
    <definedName name="Slicer_Week1">#N/A</definedName>
  </definedNames>
  <calcPr calcId="181029"/>
  <pivotCaches>
    <pivotCache cacheId="63"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 uri="GoogleSheetsCustomDataVersion1">
      <go:sheetsCustomData xmlns:go="http://customooxmlschemas.google.com/" r:id="rId17" roundtripDataSignature="AMtx7mgvy4xMzKWM0mU81f15XO/uGdF2bQ=="/>
    </ext>
  </extLst>
</workbook>
</file>

<file path=xl/calcChain.xml><?xml version="1.0" encoding="utf-8"?>
<calcChain xmlns="http://schemas.openxmlformats.org/spreadsheetml/2006/main">
  <c r="L84" i="12" l="1"/>
  <c r="L124" i="12"/>
  <c r="D8" i="12"/>
  <c r="F4" i="11"/>
  <c r="I3" i="12" s="1"/>
  <c r="K46" i="11"/>
  <c r="I46" i="12" s="1"/>
  <c r="K4" i="11"/>
  <c r="I39" i="12" s="1"/>
  <c r="K10" i="11"/>
  <c r="I40" i="12" s="1"/>
  <c r="K16" i="11"/>
  <c r="I41" i="12" s="1"/>
  <c r="K22" i="11"/>
  <c r="K28" i="11"/>
  <c r="I43" i="12" s="1"/>
  <c r="K34" i="11"/>
  <c r="I44" i="12" s="1"/>
  <c r="K40" i="11"/>
  <c r="I45" i="12" s="1"/>
  <c r="K52" i="11"/>
  <c r="I47" i="12" s="1"/>
  <c r="K58" i="11"/>
  <c r="I48" i="12" s="1"/>
  <c r="K64" i="11"/>
  <c r="I49" i="12" s="1"/>
  <c r="K70" i="11"/>
  <c r="K76" i="11"/>
  <c r="K82" i="11"/>
  <c r="K88" i="11"/>
  <c r="I53" i="12" s="1"/>
  <c r="K94" i="11"/>
  <c r="I54" i="12" s="1"/>
  <c r="K100" i="11"/>
  <c r="I55" i="12" s="1"/>
  <c r="K106" i="11"/>
  <c r="L40" i="11"/>
  <c r="J45" i="12" s="1"/>
  <c r="P40" i="11"/>
  <c r="I81" i="12" s="1"/>
  <c r="Q40" i="11"/>
  <c r="J81" i="12" s="1"/>
  <c r="U40" i="11"/>
  <c r="I117" i="12" s="1"/>
  <c r="V40" i="11"/>
  <c r="E32" i="4"/>
  <c r="F62" i="7" s="1"/>
  <c r="F32" i="4"/>
  <c r="G62" i="7" s="1"/>
  <c r="E11" i="2"/>
  <c r="E149" i="2"/>
  <c r="N199" i="12"/>
  <c r="N200" i="12"/>
  <c r="N201" i="12"/>
  <c r="N202" i="12"/>
  <c r="N203" i="12"/>
  <c r="N204" i="12"/>
  <c r="N205" i="12"/>
  <c r="N206" i="12"/>
  <c r="N207" i="12"/>
  <c r="N208" i="12"/>
  <c r="N209" i="12"/>
  <c r="N210" i="12"/>
  <c r="N198" i="12"/>
  <c r="M198" i="12"/>
  <c r="M199" i="12"/>
  <c r="M200" i="12"/>
  <c r="M201" i="12"/>
  <c r="M202" i="12"/>
  <c r="M203" i="12"/>
  <c r="M204" i="12"/>
  <c r="M205" i="12"/>
  <c r="M206" i="12"/>
  <c r="M207" i="12"/>
  <c r="M208" i="12"/>
  <c r="M209" i="12"/>
  <c r="M210" i="12"/>
  <c r="L208" i="12"/>
  <c r="L209" i="12"/>
  <c r="L210" i="12"/>
  <c r="L204" i="12"/>
  <c r="L205" i="12"/>
  <c r="L206" i="12"/>
  <c r="L207" i="12"/>
  <c r="L199" i="12"/>
  <c r="L200" i="12"/>
  <c r="L201" i="12"/>
  <c r="L202" i="12"/>
  <c r="L203" i="12"/>
  <c r="L198" i="12"/>
  <c r="N186" i="12"/>
  <c r="N187" i="12"/>
  <c r="N188" i="12"/>
  <c r="N189" i="12"/>
  <c r="N190" i="12"/>
  <c r="N191" i="12"/>
  <c r="N192" i="12"/>
  <c r="N193" i="12"/>
  <c r="N194" i="12"/>
  <c r="N195" i="12"/>
  <c r="N196" i="12"/>
  <c r="N197" i="12"/>
  <c r="N185" i="12"/>
  <c r="M186" i="12"/>
  <c r="M187" i="12"/>
  <c r="M188" i="12"/>
  <c r="M189" i="12"/>
  <c r="M190" i="12"/>
  <c r="M191" i="12"/>
  <c r="M192" i="12"/>
  <c r="M193" i="12"/>
  <c r="M194" i="12"/>
  <c r="M195" i="12"/>
  <c r="M196" i="12"/>
  <c r="M197" i="12"/>
  <c r="M185" i="12"/>
  <c r="L197" i="12"/>
  <c r="L186" i="12"/>
  <c r="L187" i="12"/>
  <c r="L188" i="12"/>
  <c r="L189" i="12"/>
  <c r="L190" i="12"/>
  <c r="L191" i="12"/>
  <c r="L192" i="12"/>
  <c r="L193" i="12"/>
  <c r="L194" i="12"/>
  <c r="L195" i="12"/>
  <c r="L196" i="12"/>
  <c r="L185" i="12"/>
  <c r="N173" i="12"/>
  <c r="N174" i="12"/>
  <c r="N175" i="12"/>
  <c r="N176" i="12"/>
  <c r="N177" i="12"/>
  <c r="N178" i="12"/>
  <c r="N179" i="12"/>
  <c r="N180" i="12"/>
  <c r="N181" i="12"/>
  <c r="N182" i="12"/>
  <c r="N183" i="12"/>
  <c r="N184" i="12"/>
  <c r="N172" i="12"/>
  <c r="M172" i="12"/>
  <c r="M173" i="12"/>
  <c r="M174" i="12"/>
  <c r="M175" i="12"/>
  <c r="M176" i="12"/>
  <c r="M177" i="12"/>
  <c r="M178" i="12"/>
  <c r="M179" i="12"/>
  <c r="M180" i="12"/>
  <c r="M181" i="12"/>
  <c r="M182" i="12"/>
  <c r="M183" i="12"/>
  <c r="M184" i="12"/>
  <c r="L184" i="12"/>
  <c r="L173" i="12"/>
  <c r="L174" i="12"/>
  <c r="L175" i="12"/>
  <c r="L176" i="12"/>
  <c r="L177" i="12"/>
  <c r="L178" i="12"/>
  <c r="L179" i="12"/>
  <c r="L180" i="12"/>
  <c r="L181" i="12"/>
  <c r="L182" i="12"/>
  <c r="L183" i="12"/>
  <c r="L172" i="12"/>
  <c r="N160" i="12"/>
  <c r="N161" i="12"/>
  <c r="N162" i="12"/>
  <c r="N163" i="12"/>
  <c r="N164" i="12"/>
  <c r="N165" i="12"/>
  <c r="N166" i="12"/>
  <c r="N167" i="12"/>
  <c r="N168" i="12"/>
  <c r="N169" i="12"/>
  <c r="N170" i="12"/>
  <c r="N171" i="12"/>
  <c r="N159" i="12"/>
  <c r="M159" i="12"/>
  <c r="M160" i="12"/>
  <c r="M161" i="12"/>
  <c r="M162" i="12"/>
  <c r="M163" i="12"/>
  <c r="M164" i="12"/>
  <c r="M165" i="12"/>
  <c r="M166" i="12"/>
  <c r="M167" i="12"/>
  <c r="M168" i="12"/>
  <c r="M169" i="12"/>
  <c r="M170" i="12"/>
  <c r="M171" i="12"/>
  <c r="L171" i="12"/>
  <c r="L170" i="12"/>
  <c r="L160" i="12"/>
  <c r="L161" i="12"/>
  <c r="L162" i="12"/>
  <c r="L163" i="12"/>
  <c r="L164" i="12"/>
  <c r="L165" i="12"/>
  <c r="L166" i="12"/>
  <c r="L167" i="12"/>
  <c r="L168" i="12"/>
  <c r="L169" i="12"/>
  <c r="L159" i="12"/>
  <c r="N147" i="12"/>
  <c r="N148" i="12"/>
  <c r="N149" i="12"/>
  <c r="N150" i="12"/>
  <c r="N151" i="12"/>
  <c r="N152" i="12"/>
  <c r="N153" i="12"/>
  <c r="N154" i="12"/>
  <c r="N155" i="12"/>
  <c r="N156" i="12"/>
  <c r="N157" i="12"/>
  <c r="N158" i="12"/>
  <c r="N146" i="12"/>
  <c r="M146" i="12"/>
  <c r="M147" i="12"/>
  <c r="M148" i="12"/>
  <c r="M149" i="12"/>
  <c r="M150" i="12"/>
  <c r="M151" i="12"/>
  <c r="M152" i="12"/>
  <c r="M153" i="12"/>
  <c r="M154" i="12"/>
  <c r="M155" i="12"/>
  <c r="M156" i="12"/>
  <c r="M157" i="12"/>
  <c r="M158" i="12"/>
  <c r="L158" i="12"/>
  <c r="L155" i="12"/>
  <c r="L156" i="12"/>
  <c r="L157" i="12"/>
  <c r="L147" i="12"/>
  <c r="L148" i="12"/>
  <c r="L149" i="12"/>
  <c r="L150" i="12"/>
  <c r="L151" i="12"/>
  <c r="L152" i="12"/>
  <c r="L153" i="12"/>
  <c r="L154" i="12"/>
  <c r="L146" i="12"/>
  <c r="N134" i="12"/>
  <c r="N135" i="12"/>
  <c r="N136" i="12"/>
  <c r="N137" i="12"/>
  <c r="N138" i="12"/>
  <c r="N139" i="12"/>
  <c r="N140" i="12"/>
  <c r="N141" i="12"/>
  <c r="N142" i="12"/>
  <c r="N143" i="12"/>
  <c r="N144" i="12"/>
  <c r="N145" i="12"/>
  <c r="N133" i="12"/>
  <c r="M134" i="12"/>
  <c r="M135" i="12"/>
  <c r="M136" i="12"/>
  <c r="M137" i="12"/>
  <c r="M138" i="12"/>
  <c r="M139" i="12"/>
  <c r="M140" i="12"/>
  <c r="M141" i="12"/>
  <c r="M142" i="12"/>
  <c r="M143" i="12"/>
  <c r="M144" i="12"/>
  <c r="M145" i="12"/>
  <c r="M133" i="12"/>
  <c r="L142" i="12"/>
  <c r="L143" i="12"/>
  <c r="L144" i="12"/>
  <c r="L145" i="12"/>
  <c r="L134" i="12"/>
  <c r="L135" i="12"/>
  <c r="L136" i="12"/>
  <c r="L137" i="12"/>
  <c r="L138" i="12"/>
  <c r="L139" i="12"/>
  <c r="L140" i="12"/>
  <c r="L141" i="12"/>
  <c r="L133" i="12"/>
  <c r="M121" i="12"/>
  <c r="N121" i="12"/>
  <c r="M122" i="12"/>
  <c r="N122" i="12"/>
  <c r="M123" i="12"/>
  <c r="N123" i="12"/>
  <c r="M124" i="12"/>
  <c r="N124" i="12"/>
  <c r="M125" i="12"/>
  <c r="N125" i="12"/>
  <c r="M126" i="12"/>
  <c r="N126" i="12"/>
  <c r="M127" i="12"/>
  <c r="N127" i="12"/>
  <c r="M128" i="12"/>
  <c r="N128" i="12"/>
  <c r="M129" i="12"/>
  <c r="N129" i="12"/>
  <c r="M130" i="12"/>
  <c r="N130" i="12"/>
  <c r="M131" i="12"/>
  <c r="N131" i="12"/>
  <c r="M132" i="12"/>
  <c r="N132" i="12"/>
  <c r="N120" i="12"/>
  <c r="M120" i="12"/>
  <c r="L132" i="12"/>
  <c r="L130" i="12"/>
  <c r="L131" i="12"/>
  <c r="L121" i="12"/>
  <c r="L122" i="12"/>
  <c r="L123" i="12"/>
  <c r="L125" i="12"/>
  <c r="L126" i="12"/>
  <c r="L127" i="12"/>
  <c r="L128" i="12"/>
  <c r="L129" i="12"/>
  <c r="L120" i="12"/>
  <c r="N108" i="12"/>
  <c r="N109" i="12"/>
  <c r="N110" i="12"/>
  <c r="N111" i="12"/>
  <c r="N112" i="12"/>
  <c r="N113" i="12"/>
  <c r="N114" i="12"/>
  <c r="N115" i="12"/>
  <c r="N116" i="12"/>
  <c r="N117" i="12"/>
  <c r="N118" i="12"/>
  <c r="N119" i="12"/>
  <c r="N107" i="12"/>
  <c r="M108" i="12"/>
  <c r="M109" i="12"/>
  <c r="M110" i="12"/>
  <c r="M111" i="12"/>
  <c r="M112" i="12"/>
  <c r="M113" i="12"/>
  <c r="M114" i="12"/>
  <c r="M115" i="12"/>
  <c r="M116" i="12"/>
  <c r="M117" i="12"/>
  <c r="M118" i="12"/>
  <c r="M119" i="12"/>
  <c r="M107" i="12"/>
  <c r="M106" i="12"/>
  <c r="L119" i="12"/>
  <c r="L108" i="12"/>
  <c r="L109" i="12"/>
  <c r="L110" i="12"/>
  <c r="L111" i="12"/>
  <c r="L112" i="12"/>
  <c r="L113" i="12"/>
  <c r="L114" i="12"/>
  <c r="L115" i="12"/>
  <c r="L116" i="12"/>
  <c r="L117" i="12"/>
  <c r="L118" i="12"/>
  <c r="L107" i="12"/>
  <c r="N95" i="12"/>
  <c r="N96" i="12"/>
  <c r="N97" i="12"/>
  <c r="N98" i="12"/>
  <c r="N99" i="12"/>
  <c r="N100" i="12"/>
  <c r="N101" i="12"/>
  <c r="N102" i="12"/>
  <c r="N103" i="12"/>
  <c r="N104" i="12"/>
  <c r="N105" i="12"/>
  <c r="N106" i="12"/>
  <c r="N94" i="12"/>
  <c r="M95" i="12"/>
  <c r="M96" i="12"/>
  <c r="M97" i="12"/>
  <c r="M98" i="12"/>
  <c r="M99" i="12"/>
  <c r="M100" i="12"/>
  <c r="M101" i="12"/>
  <c r="M102" i="12"/>
  <c r="M103" i="12"/>
  <c r="M104" i="12"/>
  <c r="M105" i="12"/>
  <c r="M94" i="12"/>
  <c r="L103" i="12"/>
  <c r="L104" i="12"/>
  <c r="L105" i="12"/>
  <c r="L106" i="12"/>
  <c r="L95" i="12"/>
  <c r="L96" i="12"/>
  <c r="L97" i="12"/>
  <c r="L98" i="12"/>
  <c r="L99" i="12"/>
  <c r="L100" i="12"/>
  <c r="L101" i="12"/>
  <c r="L102" i="12"/>
  <c r="L94" i="12"/>
  <c r="M82" i="12"/>
  <c r="N82" i="12"/>
  <c r="M83" i="12"/>
  <c r="N83" i="12"/>
  <c r="M84" i="12"/>
  <c r="N84" i="12"/>
  <c r="M85" i="12"/>
  <c r="N85" i="12"/>
  <c r="M86" i="12"/>
  <c r="N86" i="12"/>
  <c r="M87" i="12"/>
  <c r="N87" i="12"/>
  <c r="M88" i="12"/>
  <c r="N88" i="12"/>
  <c r="M89" i="12"/>
  <c r="N89" i="12"/>
  <c r="M90" i="12"/>
  <c r="N90" i="12"/>
  <c r="M91" i="12"/>
  <c r="N91" i="12"/>
  <c r="M92" i="12"/>
  <c r="N92" i="12"/>
  <c r="M93" i="12"/>
  <c r="N93" i="12"/>
  <c r="N81" i="12"/>
  <c r="M81" i="12"/>
  <c r="L92" i="12"/>
  <c r="L93" i="12"/>
  <c r="L90" i="12"/>
  <c r="L91" i="12"/>
  <c r="L82" i="12"/>
  <c r="L83" i="12"/>
  <c r="L85" i="12"/>
  <c r="L86" i="12"/>
  <c r="L87" i="12"/>
  <c r="L88" i="12"/>
  <c r="L89" i="12"/>
  <c r="L81" i="12"/>
  <c r="L43" i="12"/>
  <c r="L44" i="12"/>
  <c r="L45" i="12"/>
  <c r="L46" i="12"/>
  <c r="L47"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42" i="12"/>
  <c r="N69" i="12"/>
  <c r="N70" i="12"/>
  <c r="N71" i="12"/>
  <c r="N72" i="12"/>
  <c r="N73" i="12"/>
  <c r="N74" i="12"/>
  <c r="N75" i="12"/>
  <c r="N76" i="12"/>
  <c r="N77" i="12"/>
  <c r="N78" i="12"/>
  <c r="N79" i="12"/>
  <c r="N80" i="12"/>
  <c r="N68" i="12"/>
  <c r="L69" i="12"/>
  <c r="L70" i="12"/>
  <c r="L71" i="12"/>
  <c r="L72" i="12"/>
  <c r="L73" i="12"/>
  <c r="L74" i="12"/>
  <c r="L75" i="12"/>
  <c r="L76" i="12"/>
  <c r="L77" i="12"/>
  <c r="L78" i="12"/>
  <c r="L79" i="12"/>
  <c r="L80" i="12"/>
  <c r="L68" i="12"/>
  <c r="N56" i="12"/>
  <c r="N57" i="12"/>
  <c r="N58" i="12"/>
  <c r="N59" i="12"/>
  <c r="N60" i="12"/>
  <c r="N61" i="12"/>
  <c r="N62" i="12"/>
  <c r="N63" i="12"/>
  <c r="N64" i="12"/>
  <c r="N65" i="12"/>
  <c r="N66" i="12"/>
  <c r="N67" i="12"/>
  <c r="N55" i="12"/>
  <c r="L67" i="12"/>
  <c r="L66" i="12"/>
  <c r="L65" i="12"/>
  <c r="L56" i="12"/>
  <c r="L57" i="12"/>
  <c r="L58" i="12"/>
  <c r="L59" i="12"/>
  <c r="L60" i="12"/>
  <c r="L61" i="12"/>
  <c r="L62" i="12"/>
  <c r="L63" i="12"/>
  <c r="L64" i="12"/>
  <c r="L55" i="12"/>
  <c r="N43" i="12"/>
  <c r="N44" i="12"/>
  <c r="N45" i="12"/>
  <c r="N46" i="12"/>
  <c r="N47" i="12"/>
  <c r="N48" i="12"/>
  <c r="N49" i="12"/>
  <c r="N50" i="12"/>
  <c r="N51" i="12"/>
  <c r="N52" i="12"/>
  <c r="N53" i="12"/>
  <c r="N54" i="12"/>
  <c r="N42" i="12"/>
  <c r="L54" i="12"/>
  <c r="L48" i="12"/>
  <c r="L49" i="12"/>
  <c r="L50" i="12"/>
  <c r="L51" i="12"/>
  <c r="L52" i="12"/>
  <c r="L53" i="12"/>
  <c r="L42" i="12"/>
  <c r="L29"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N3" i="12"/>
  <c r="N30" i="12"/>
  <c r="N31" i="12"/>
  <c r="N32" i="12"/>
  <c r="N33" i="12"/>
  <c r="N34" i="12"/>
  <c r="N35" i="12"/>
  <c r="N36" i="12"/>
  <c r="N37" i="12"/>
  <c r="N38" i="12"/>
  <c r="N39" i="12"/>
  <c r="N40" i="12"/>
  <c r="N41" i="12"/>
  <c r="N29" i="12"/>
  <c r="N28" i="12"/>
  <c r="L40" i="12"/>
  <c r="L41" i="12"/>
  <c r="L39" i="12"/>
  <c r="L38" i="12"/>
  <c r="L35" i="12"/>
  <c r="L36" i="12"/>
  <c r="L37" i="12"/>
  <c r="L30" i="12"/>
  <c r="L31" i="12"/>
  <c r="L32" i="12"/>
  <c r="L33" i="12"/>
  <c r="L34" i="12"/>
  <c r="L17" i="12"/>
  <c r="L18" i="12"/>
  <c r="L19" i="12"/>
  <c r="L20" i="12"/>
  <c r="L21" i="12"/>
  <c r="L22" i="12"/>
  <c r="L23" i="12"/>
  <c r="L24" i="12"/>
  <c r="L25" i="12"/>
  <c r="L26" i="12"/>
  <c r="L27" i="12"/>
  <c r="L28" i="12"/>
  <c r="L16" i="12"/>
  <c r="N17" i="12"/>
  <c r="N18" i="12"/>
  <c r="N19" i="12"/>
  <c r="N20" i="12"/>
  <c r="N21" i="12"/>
  <c r="N22" i="12"/>
  <c r="N23" i="12"/>
  <c r="N24" i="12"/>
  <c r="N25" i="12"/>
  <c r="N26" i="12"/>
  <c r="N27" i="12"/>
  <c r="N16" i="12"/>
  <c r="N4" i="12"/>
  <c r="N5" i="12"/>
  <c r="N6" i="12"/>
  <c r="N7" i="12"/>
  <c r="N8" i="12"/>
  <c r="N9" i="12"/>
  <c r="N10" i="12"/>
  <c r="N11" i="12"/>
  <c r="N12" i="12"/>
  <c r="N13" i="12"/>
  <c r="N14" i="12"/>
  <c r="N15" i="12"/>
  <c r="L4" i="12"/>
  <c r="L5" i="12"/>
  <c r="L6" i="12"/>
  <c r="L7" i="12"/>
  <c r="L8" i="12"/>
  <c r="L9" i="12"/>
  <c r="L10" i="12"/>
  <c r="L11" i="12"/>
  <c r="L12" i="12"/>
  <c r="L13" i="12"/>
  <c r="L14" i="12"/>
  <c r="L15" i="12"/>
  <c r="L3" i="12"/>
  <c r="F112" i="11"/>
  <c r="I21" i="12" s="1"/>
  <c r="F118" i="11"/>
  <c r="I22" i="12" s="1"/>
  <c r="F124" i="11"/>
  <c r="I23" i="12" s="1"/>
  <c r="F130" i="11"/>
  <c r="I24" i="12" s="1"/>
  <c r="F136" i="11"/>
  <c r="I25" i="12" s="1"/>
  <c r="F142" i="11"/>
  <c r="I26" i="12" s="1"/>
  <c r="F148" i="11"/>
  <c r="I27" i="12" s="1"/>
  <c r="F154" i="11"/>
  <c r="I28" i="12" s="1"/>
  <c r="F160" i="11"/>
  <c r="I29" i="12" s="1"/>
  <c r="F166" i="11"/>
  <c r="I30" i="12" s="1"/>
  <c r="F172" i="11"/>
  <c r="I31" i="12" s="1"/>
  <c r="F178" i="11"/>
  <c r="F184" i="11"/>
  <c r="I33" i="12" s="1"/>
  <c r="F190" i="11"/>
  <c r="I34" i="12" s="1"/>
  <c r="F196" i="11"/>
  <c r="I35" i="12" s="1"/>
  <c r="F202" i="11"/>
  <c r="I36" i="12" s="1"/>
  <c r="F208" i="11"/>
  <c r="I37" i="12" s="1"/>
  <c r="U10" i="11"/>
  <c r="I112" i="12" s="1"/>
  <c r="U16" i="11"/>
  <c r="I113" i="12" s="1"/>
  <c r="U22" i="11"/>
  <c r="I114" i="12" s="1"/>
  <c r="U28" i="11"/>
  <c r="I115" i="12" s="1"/>
  <c r="U34" i="11"/>
  <c r="U46" i="11"/>
  <c r="U52" i="11"/>
  <c r="I119" i="12" s="1"/>
  <c r="U58" i="11"/>
  <c r="I120" i="12" s="1"/>
  <c r="U64" i="11"/>
  <c r="U70" i="11"/>
  <c r="I122" i="12" s="1"/>
  <c r="U76" i="11"/>
  <c r="I123" i="12" s="1"/>
  <c r="U82" i="11"/>
  <c r="I124" i="12" s="1"/>
  <c r="U88" i="11"/>
  <c r="I125" i="12" s="1"/>
  <c r="U94" i="11"/>
  <c r="I126" i="12" s="1"/>
  <c r="U100" i="11"/>
  <c r="I127" i="12" s="1"/>
  <c r="U106" i="11"/>
  <c r="I128" i="12" s="1"/>
  <c r="U112" i="11"/>
  <c r="U118" i="11"/>
  <c r="U124" i="11"/>
  <c r="I131" i="12" s="1"/>
  <c r="U130" i="11"/>
  <c r="I132" i="12" s="1"/>
  <c r="U136" i="11"/>
  <c r="U142" i="11"/>
  <c r="I134" i="12" s="1"/>
  <c r="U148" i="11"/>
  <c r="I135" i="12" s="1"/>
  <c r="U154" i="11"/>
  <c r="I136" i="12" s="1"/>
  <c r="U160" i="11"/>
  <c r="I137" i="12" s="1"/>
  <c r="U166" i="11"/>
  <c r="I138" i="12" s="1"/>
  <c r="U172" i="11"/>
  <c r="I139" i="12" s="1"/>
  <c r="U178" i="11"/>
  <c r="U184" i="11"/>
  <c r="U190" i="11"/>
  <c r="I142" i="12" s="1"/>
  <c r="U196" i="11"/>
  <c r="I143" i="12" s="1"/>
  <c r="U202" i="11"/>
  <c r="I144" i="12" s="1"/>
  <c r="U208" i="11"/>
  <c r="U214" i="11"/>
  <c r="I146" i="12" s="1"/>
  <c r="V10" i="11"/>
  <c r="J112" i="12" s="1"/>
  <c r="V16" i="11"/>
  <c r="J113" i="12" s="1"/>
  <c r="V22" i="11"/>
  <c r="J114" i="12" s="1"/>
  <c r="V28" i="11"/>
  <c r="J115" i="12" s="1"/>
  <c r="V34" i="11"/>
  <c r="J116" i="12" s="1"/>
  <c r="V46" i="11"/>
  <c r="J118" i="12" s="1"/>
  <c r="V52" i="11"/>
  <c r="J119" i="12" s="1"/>
  <c r="V58" i="11"/>
  <c r="J120" i="12" s="1"/>
  <c r="V64" i="11"/>
  <c r="J121" i="12" s="1"/>
  <c r="V70" i="11"/>
  <c r="J122" i="12" s="1"/>
  <c r="V76" i="11"/>
  <c r="J123" i="12" s="1"/>
  <c r="V82" i="11"/>
  <c r="J124" i="12" s="1"/>
  <c r="V88" i="11"/>
  <c r="J125" i="12" s="1"/>
  <c r="V94" i="11"/>
  <c r="J126" i="12" s="1"/>
  <c r="V100" i="11"/>
  <c r="J127" i="12" s="1"/>
  <c r="V106" i="11"/>
  <c r="J128" i="12" s="1"/>
  <c r="V112" i="11"/>
  <c r="J129" i="12" s="1"/>
  <c r="V118" i="11"/>
  <c r="J130" i="12" s="1"/>
  <c r="V124" i="11"/>
  <c r="V130" i="11"/>
  <c r="J132" i="12" s="1"/>
  <c r="V136" i="11"/>
  <c r="J133" i="12" s="1"/>
  <c r="V142" i="11"/>
  <c r="J134" i="12" s="1"/>
  <c r="V148" i="11"/>
  <c r="J135" i="12" s="1"/>
  <c r="V154" i="11"/>
  <c r="J136" i="12" s="1"/>
  <c r="V160" i="11"/>
  <c r="J137" i="12" s="1"/>
  <c r="V166" i="11"/>
  <c r="J138" i="12" s="1"/>
  <c r="V172" i="11"/>
  <c r="J139" i="12" s="1"/>
  <c r="V178" i="11"/>
  <c r="J140" i="12" s="1"/>
  <c r="V184" i="11"/>
  <c r="J141" i="12" s="1"/>
  <c r="V190" i="11"/>
  <c r="J142" i="12" s="1"/>
  <c r="V196" i="11"/>
  <c r="V202" i="11"/>
  <c r="V208" i="11"/>
  <c r="J145" i="12" s="1"/>
  <c r="V214" i="11"/>
  <c r="J146" i="12" s="1"/>
  <c r="V4" i="11"/>
  <c r="J111" i="12" s="1"/>
  <c r="Q4" i="11"/>
  <c r="J75" i="12" s="1"/>
  <c r="U4" i="11"/>
  <c r="I111" i="12" s="1"/>
  <c r="P4" i="11"/>
  <c r="I75" i="12" s="1"/>
  <c r="P10" i="11"/>
  <c r="I76" i="12" s="1"/>
  <c r="Q10" i="11"/>
  <c r="J76" i="12" s="1"/>
  <c r="P16" i="11"/>
  <c r="I77" i="12" s="1"/>
  <c r="Q16" i="11"/>
  <c r="J77" i="12" s="1"/>
  <c r="P22" i="11"/>
  <c r="Q22" i="11"/>
  <c r="J78" i="12" s="1"/>
  <c r="P28" i="11"/>
  <c r="I79" i="12" s="1"/>
  <c r="Q28" i="11"/>
  <c r="J79" i="12" s="1"/>
  <c r="P34" i="11"/>
  <c r="I80" i="12" s="1"/>
  <c r="Q34" i="11"/>
  <c r="J80" i="12" s="1"/>
  <c r="P46" i="11"/>
  <c r="I82" i="12" s="1"/>
  <c r="Q46" i="11"/>
  <c r="J82" i="12" s="1"/>
  <c r="P52" i="11"/>
  <c r="I83" i="12" s="1"/>
  <c r="Q52" i="11"/>
  <c r="J83" i="12" s="1"/>
  <c r="P58" i="11"/>
  <c r="I84" i="12" s="1"/>
  <c r="Q58" i="11"/>
  <c r="J84" i="12" s="1"/>
  <c r="P64" i="11"/>
  <c r="I85" i="12" s="1"/>
  <c r="Q64" i="11"/>
  <c r="J85" i="12" s="1"/>
  <c r="P70" i="11"/>
  <c r="I86" i="12" s="1"/>
  <c r="Q70" i="11"/>
  <c r="J86" i="12" s="1"/>
  <c r="P76" i="11"/>
  <c r="I87" i="12" s="1"/>
  <c r="Q76" i="11"/>
  <c r="J87" i="12" s="1"/>
  <c r="P82" i="11"/>
  <c r="I88" i="12" s="1"/>
  <c r="Q82" i="11"/>
  <c r="J88" i="12" s="1"/>
  <c r="P88" i="11"/>
  <c r="I89" i="12" s="1"/>
  <c r="Q88" i="11"/>
  <c r="J89" i="12" s="1"/>
  <c r="P94" i="11"/>
  <c r="I90" i="12" s="1"/>
  <c r="Q94" i="11"/>
  <c r="J90" i="12" s="1"/>
  <c r="P100" i="11"/>
  <c r="I91" i="12" s="1"/>
  <c r="Q100" i="11"/>
  <c r="J91" i="12" s="1"/>
  <c r="P106" i="11"/>
  <c r="I92" i="12" s="1"/>
  <c r="Q106" i="11"/>
  <c r="J92" i="12" s="1"/>
  <c r="P112" i="11"/>
  <c r="Q112" i="11"/>
  <c r="P118" i="11"/>
  <c r="I94" i="12" s="1"/>
  <c r="Q118" i="11"/>
  <c r="J94" i="12" s="1"/>
  <c r="P124" i="11"/>
  <c r="I95" i="12" s="1"/>
  <c r="Q124" i="11"/>
  <c r="J95" i="12" s="1"/>
  <c r="P130" i="11"/>
  <c r="I96" i="12" s="1"/>
  <c r="Q130" i="11"/>
  <c r="J96" i="12" s="1"/>
  <c r="P136" i="11"/>
  <c r="I97" i="12" s="1"/>
  <c r="Q136" i="11"/>
  <c r="J97" i="12" s="1"/>
  <c r="P142" i="11"/>
  <c r="I98" i="12" s="1"/>
  <c r="Q142" i="11"/>
  <c r="J98" i="12" s="1"/>
  <c r="P148" i="11"/>
  <c r="I99" i="12" s="1"/>
  <c r="Q148" i="11"/>
  <c r="J99" i="12" s="1"/>
  <c r="P154" i="11"/>
  <c r="I100" i="12" s="1"/>
  <c r="Q154" i="11"/>
  <c r="J100" i="12" s="1"/>
  <c r="P160" i="11"/>
  <c r="I101" i="12" s="1"/>
  <c r="Q160" i="11"/>
  <c r="J101" i="12" s="1"/>
  <c r="P166" i="11"/>
  <c r="I102" i="12" s="1"/>
  <c r="Q166" i="11"/>
  <c r="J102" i="12" s="1"/>
  <c r="P172" i="11"/>
  <c r="I103" i="12" s="1"/>
  <c r="Q172" i="11"/>
  <c r="J103" i="12" s="1"/>
  <c r="P178" i="11"/>
  <c r="I104" i="12" s="1"/>
  <c r="Q178" i="11"/>
  <c r="J104" i="12" s="1"/>
  <c r="P184" i="11"/>
  <c r="Q184" i="11"/>
  <c r="P190" i="11"/>
  <c r="I106" i="12" s="1"/>
  <c r="Q190" i="11"/>
  <c r="J106" i="12" s="1"/>
  <c r="P196" i="11"/>
  <c r="I107" i="12" s="1"/>
  <c r="Q196" i="11"/>
  <c r="J107" i="12" s="1"/>
  <c r="P202" i="11"/>
  <c r="I108" i="12" s="1"/>
  <c r="Q202" i="11"/>
  <c r="J108" i="12" s="1"/>
  <c r="P208" i="11"/>
  <c r="Q208" i="11"/>
  <c r="J109" i="12" s="1"/>
  <c r="L4" i="11"/>
  <c r="J39" i="12" s="1"/>
  <c r="L10" i="11"/>
  <c r="J40" i="12" s="1"/>
  <c r="L16" i="11"/>
  <c r="J41" i="12" s="1"/>
  <c r="L22" i="11"/>
  <c r="J42" i="12" s="1"/>
  <c r="L28" i="11"/>
  <c r="J43" i="12" s="1"/>
  <c r="L34" i="11"/>
  <c r="J44" i="12" s="1"/>
  <c r="L46" i="11"/>
  <c r="J46" i="12" s="1"/>
  <c r="L52" i="11"/>
  <c r="J47" i="12" s="1"/>
  <c r="L58" i="11"/>
  <c r="J48" i="12" s="1"/>
  <c r="L64" i="11"/>
  <c r="J49" i="12" s="1"/>
  <c r="L76" i="11"/>
  <c r="J51" i="12" s="1"/>
  <c r="L82" i="11"/>
  <c r="J52" i="12" s="1"/>
  <c r="L88" i="11"/>
  <c r="J53" i="12" s="1"/>
  <c r="L94" i="11"/>
  <c r="J54" i="12" s="1"/>
  <c r="L100" i="11"/>
  <c r="J55" i="12" s="1"/>
  <c r="L106" i="11"/>
  <c r="J56" i="12" s="1"/>
  <c r="L112" i="11"/>
  <c r="J57" i="12" s="1"/>
  <c r="L118" i="11"/>
  <c r="J58" i="12" s="1"/>
  <c r="L124" i="11"/>
  <c r="J59" i="12" s="1"/>
  <c r="L130" i="11"/>
  <c r="J60" i="12" s="1"/>
  <c r="L136" i="11"/>
  <c r="J61" i="12" s="1"/>
  <c r="L142" i="11"/>
  <c r="J62" i="12" s="1"/>
  <c r="L148" i="11"/>
  <c r="J63" i="12" s="1"/>
  <c r="L154" i="11"/>
  <c r="J64" i="12" s="1"/>
  <c r="L160" i="11"/>
  <c r="J65" i="12" s="1"/>
  <c r="L166" i="11"/>
  <c r="J66" i="12" s="1"/>
  <c r="L172" i="11"/>
  <c r="L178" i="11"/>
  <c r="J68" i="12" s="1"/>
  <c r="L184" i="11"/>
  <c r="J69" i="12" s="1"/>
  <c r="L190" i="11"/>
  <c r="J70" i="12" s="1"/>
  <c r="L196" i="11"/>
  <c r="J71" i="12" s="1"/>
  <c r="L202" i="11"/>
  <c r="J72" i="12" s="1"/>
  <c r="L208" i="11"/>
  <c r="J73" i="12" s="1"/>
  <c r="I52" i="12"/>
  <c r="K112" i="11"/>
  <c r="K118" i="11"/>
  <c r="I58" i="12" s="1"/>
  <c r="K124" i="11"/>
  <c r="I59" i="12" s="1"/>
  <c r="K130" i="11"/>
  <c r="I60" i="12" s="1"/>
  <c r="K136" i="11"/>
  <c r="I61" i="12" s="1"/>
  <c r="K142" i="11"/>
  <c r="I62" i="12" s="1"/>
  <c r="K148" i="11"/>
  <c r="I63" i="12" s="1"/>
  <c r="K154" i="11"/>
  <c r="I64" i="12" s="1"/>
  <c r="K160" i="11"/>
  <c r="K166" i="11"/>
  <c r="I66" i="12" s="1"/>
  <c r="K172" i="11"/>
  <c r="I67" i="12" s="1"/>
  <c r="K178" i="11"/>
  <c r="I68" i="12" s="1"/>
  <c r="K184" i="11"/>
  <c r="K190" i="11"/>
  <c r="I70" i="12" s="1"/>
  <c r="K196" i="11"/>
  <c r="I71" i="12" s="1"/>
  <c r="K202" i="11"/>
  <c r="I72" i="12" s="1"/>
  <c r="K208" i="11"/>
  <c r="I73" i="12" s="1"/>
  <c r="I50" i="12"/>
  <c r="F14"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F12" i="2"/>
  <c r="F13"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50" i="2"/>
  <c r="E151" i="2"/>
  <c r="E152" i="2"/>
  <c r="E153" i="2"/>
  <c r="E154" i="2"/>
  <c r="E155" i="2"/>
  <c r="E156" i="2"/>
  <c r="H11" i="2"/>
  <c r="G11" i="2"/>
  <c r="F11" i="2"/>
  <c r="D3" i="12"/>
  <c r="D4" i="12"/>
  <c r="D5" i="12"/>
  <c r="D6" i="12"/>
  <c r="D7"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F214" i="11"/>
  <c r="I38" i="12" s="1"/>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12"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76"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40"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4" i="12"/>
  <c r="I65" i="12"/>
  <c r="J67" i="12"/>
  <c r="I32" i="12"/>
  <c r="I140" i="12"/>
  <c r="I69" i="12"/>
  <c r="I105" i="12"/>
  <c r="J105" i="12"/>
  <c r="I141" i="12"/>
  <c r="J143" i="12"/>
  <c r="J144" i="12"/>
  <c r="I109" i="12"/>
  <c r="I145" i="12"/>
  <c r="I42" i="12"/>
  <c r="I78" i="12"/>
  <c r="I116" i="12"/>
  <c r="J117" i="12"/>
  <c r="I118" i="12"/>
  <c r="I121" i="12"/>
  <c r="I14" i="12"/>
  <c r="J14" i="12"/>
  <c r="J50" i="12"/>
  <c r="I51" i="12"/>
  <c r="I56" i="12"/>
  <c r="I57" i="12"/>
  <c r="I93" i="12"/>
  <c r="J93" i="12"/>
  <c r="I129" i="12"/>
  <c r="I130" i="12"/>
  <c r="J131" i="12"/>
  <c r="I133" i="12"/>
  <c r="L214" i="11"/>
  <c r="J74" i="12" s="1"/>
  <c r="Q214" i="11"/>
  <c r="J110" i="12" s="1"/>
  <c r="P214" i="11"/>
  <c r="I110" i="12" s="1"/>
  <c r="K214" i="11"/>
  <c r="I74" i="12" s="1"/>
  <c r="G214" i="11"/>
  <c r="J38" i="12" s="1"/>
  <c r="G208" i="11"/>
  <c r="J37" i="12" s="1"/>
  <c r="G202" i="11"/>
  <c r="J36" i="12" s="1"/>
  <c r="G196" i="11"/>
  <c r="J35" i="12" s="1"/>
  <c r="G190" i="11"/>
  <c r="J34" i="12" s="1"/>
  <c r="G184" i="11"/>
  <c r="J33" i="12" s="1"/>
  <c r="G178" i="11"/>
  <c r="J32" i="12" s="1"/>
  <c r="G172" i="11"/>
  <c r="J31" i="12" s="1"/>
  <c r="G166" i="11"/>
  <c r="J30" i="12" s="1"/>
  <c r="G160" i="11"/>
  <c r="J29" i="12" s="1"/>
  <c r="G154" i="11"/>
  <c r="J28" i="12" s="1"/>
  <c r="G148" i="11"/>
  <c r="J27" i="12" s="1"/>
  <c r="G142" i="11"/>
  <c r="J26" i="12" s="1"/>
  <c r="G136" i="11"/>
  <c r="J25" i="12" s="1"/>
  <c r="G130" i="11"/>
  <c r="J24" i="12" s="1"/>
  <c r="G124" i="11"/>
  <c r="J23" i="12" s="1"/>
  <c r="G118" i="11"/>
  <c r="J22" i="12" s="1"/>
  <c r="G112" i="11"/>
  <c r="J21" i="12" s="1"/>
  <c r="F76" i="11"/>
  <c r="I15" i="12" s="1"/>
  <c r="F82" i="11"/>
  <c r="I16" i="12" s="1"/>
  <c r="F88" i="11"/>
  <c r="I17" i="12" s="1"/>
  <c r="F94" i="11"/>
  <c r="I18" i="12" s="1"/>
  <c r="F100" i="11"/>
  <c r="I19" i="12" s="1"/>
  <c r="F106" i="11"/>
  <c r="I20" i="12" s="1"/>
  <c r="E6" i="2"/>
  <c r="F52" i="11"/>
  <c r="I11" i="12" s="1"/>
  <c r="F58" i="11"/>
  <c r="I12" i="12" s="1"/>
  <c r="F64" i="11"/>
  <c r="I13" i="12" s="1"/>
  <c r="F46" i="11"/>
  <c r="I10" i="12" s="1"/>
  <c r="F40" i="11"/>
  <c r="I9" i="12" s="1"/>
  <c r="F16" i="11"/>
  <c r="I5" i="12" s="1"/>
  <c r="F22" i="11"/>
  <c r="I6" i="12" s="1"/>
  <c r="F28" i="11"/>
  <c r="I7" i="12" s="1"/>
  <c r="F34" i="11"/>
  <c r="I8" i="12" s="1"/>
  <c r="F10" i="11"/>
  <c r="I4" i="12" s="1"/>
  <c r="G22" i="11"/>
  <c r="J6" i="12" s="1"/>
  <c r="G40" i="11"/>
  <c r="J9" i="12" s="1"/>
  <c r="G46" i="11"/>
  <c r="J10" i="12" s="1"/>
  <c r="G52" i="11"/>
  <c r="J11" i="12" s="1"/>
  <c r="G58" i="11"/>
  <c r="J12" i="12" s="1"/>
  <c r="G64" i="11"/>
  <c r="J13" i="12" s="1"/>
  <c r="G76" i="11"/>
  <c r="J15" i="12" s="1"/>
  <c r="G82" i="11"/>
  <c r="J16" i="12" s="1"/>
  <c r="G88" i="11"/>
  <c r="J17" i="12" s="1"/>
  <c r="G94" i="11"/>
  <c r="J18" i="12" s="1"/>
  <c r="G100" i="11"/>
  <c r="J19" i="12" s="1"/>
  <c r="G106" i="11"/>
  <c r="J20" i="12" s="1"/>
  <c r="G34" i="11"/>
  <c r="J8" i="12" s="1"/>
  <c r="G28" i="11"/>
  <c r="J7" i="12" s="1"/>
  <c r="G16" i="11"/>
  <c r="J5" i="12" s="1"/>
  <c r="G10" i="11"/>
  <c r="J4" i="12" s="1"/>
  <c r="G4" i="11"/>
  <c r="J3" i="12" s="1"/>
  <c r="F10" i="7"/>
  <c r="E5" i="4"/>
  <c r="F35" i="7" s="1"/>
  <c r="F5" i="4"/>
  <c r="G35" i="7" s="1"/>
  <c r="G5" i="4"/>
  <c r="F63" i="7" s="1"/>
  <c r="H5" i="4"/>
  <c r="G63" i="7" s="1"/>
  <c r="I5" i="4"/>
  <c r="F94" i="7" s="1"/>
  <c r="J5" i="4"/>
  <c r="K5" i="4"/>
  <c r="F124" i="7" s="1"/>
  <c r="L5" i="4"/>
  <c r="M5" i="4"/>
  <c r="F155" i="7" s="1"/>
  <c r="N5" i="4"/>
  <c r="O5" i="4"/>
  <c r="F185" i="7" s="1"/>
  <c r="P5" i="4"/>
  <c r="Q5" i="4"/>
  <c r="F216" i="7" s="1"/>
  <c r="R5" i="4"/>
  <c r="F247" i="7"/>
  <c r="F277" i="7"/>
  <c r="F308" i="7"/>
  <c r="F338" i="7"/>
  <c r="E6" i="4"/>
  <c r="F36" i="7" s="1"/>
  <c r="F6" i="4"/>
  <c r="G36" i="7" s="1"/>
  <c r="G6" i="4"/>
  <c r="F64" i="7" s="1"/>
  <c r="H6" i="4"/>
  <c r="G64" i="7" s="1"/>
  <c r="I6" i="4"/>
  <c r="F95" i="7" s="1"/>
  <c r="J6" i="4"/>
  <c r="G95" i="7" s="1"/>
  <c r="K6" i="4"/>
  <c r="F125" i="7" s="1"/>
  <c r="L6" i="4"/>
  <c r="M6" i="4"/>
  <c r="F156" i="7" s="1"/>
  <c r="N6" i="4"/>
  <c r="O6" i="4"/>
  <c r="F186" i="7" s="1"/>
  <c r="P6" i="4"/>
  <c r="Q6" i="4"/>
  <c r="F217" i="7" s="1"/>
  <c r="R6" i="4"/>
  <c r="F248" i="7"/>
  <c r="F278" i="7"/>
  <c r="F309" i="7"/>
  <c r="F339" i="7"/>
  <c r="E7" i="4"/>
  <c r="F37" i="7" s="1"/>
  <c r="F7" i="4"/>
  <c r="G37" i="7" s="1"/>
  <c r="G7" i="4"/>
  <c r="F65" i="7" s="1"/>
  <c r="H7" i="4"/>
  <c r="G65" i="7" s="1"/>
  <c r="I7" i="4"/>
  <c r="F96" i="7" s="1"/>
  <c r="J7" i="4"/>
  <c r="K7" i="4"/>
  <c r="F126" i="7" s="1"/>
  <c r="L7" i="4"/>
  <c r="M7" i="4"/>
  <c r="F157" i="7" s="1"/>
  <c r="N7" i="4"/>
  <c r="O7" i="4"/>
  <c r="F187" i="7" s="1"/>
  <c r="P7" i="4"/>
  <c r="Q7" i="4"/>
  <c r="F218" i="7" s="1"/>
  <c r="R7" i="4"/>
  <c r="F249" i="7"/>
  <c r="F279" i="7"/>
  <c r="F310" i="7"/>
  <c r="F340" i="7"/>
  <c r="E8" i="4"/>
  <c r="F38" i="7" s="1"/>
  <c r="F8" i="4"/>
  <c r="G38" i="7" s="1"/>
  <c r="G8" i="4"/>
  <c r="F66" i="7" s="1"/>
  <c r="H8" i="4"/>
  <c r="G66" i="7" s="1"/>
  <c r="I8" i="4"/>
  <c r="F97" i="7" s="1"/>
  <c r="J8" i="4"/>
  <c r="G97" i="7" s="1"/>
  <c r="K8" i="4"/>
  <c r="F127" i="7" s="1"/>
  <c r="L8" i="4"/>
  <c r="M8" i="4"/>
  <c r="F158" i="7" s="1"/>
  <c r="N8" i="4"/>
  <c r="O8" i="4"/>
  <c r="F188" i="7" s="1"/>
  <c r="P8" i="4"/>
  <c r="Q8" i="4"/>
  <c r="F219" i="7" s="1"/>
  <c r="R8" i="4"/>
  <c r="F250" i="7"/>
  <c r="F280" i="7"/>
  <c r="F311" i="7"/>
  <c r="F341" i="7"/>
  <c r="E9" i="4"/>
  <c r="F39" i="7" s="1"/>
  <c r="F9" i="4"/>
  <c r="G39" i="7" s="1"/>
  <c r="G9" i="4"/>
  <c r="F67" i="7" s="1"/>
  <c r="H9" i="4"/>
  <c r="G67" i="7" s="1"/>
  <c r="I9" i="4"/>
  <c r="F98" i="7" s="1"/>
  <c r="J9" i="4"/>
  <c r="K9" i="4"/>
  <c r="F128" i="7" s="1"/>
  <c r="L9" i="4"/>
  <c r="M9" i="4"/>
  <c r="F159" i="7" s="1"/>
  <c r="N9" i="4"/>
  <c r="O9" i="4"/>
  <c r="F189" i="7" s="1"/>
  <c r="P9" i="4"/>
  <c r="Q9" i="4"/>
  <c r="F220" i="7" s="1"/>
  <c r="R9" i="4"/>
  <c r="F251" i="7"/>
  <c r="F281" i="7"/>
  <c r="F312" i="7"/>
  <c r="F342" i="7"/>
  <c r="E10" i="4"/>
  <c r="F40" i="7" s="1"/>
  <c r="F10" i="4"/>
  <c r="G40" i="7" s="1"/>
  <c r="G10" i="4"/>
  <c r="F68" i="7" s="1"/>
  <c r="H10" i="4"/>
  <c r="G68" i="7" s="1"/>
  <c r="I10" i="4"/>
  <c r="F99" i="7" s="1"/>
  <c r="J10" i="4"/>
  <c r="K10" i="4"/>
  <c r="F129" i="7" s="1"/>
  <c r="L10" i="4"/>
  <c r="M10" i="4"/>
  <c r="F160" i="7" s="1"/>
  <c r="N10" i="4"/>
  <c r="O10" i="4"/>
  <c r="F190" i="7" s="1"/>
  <c r="P10" i="4"/>
  <c r="Q10" i="4"/>
  <c r="F221" i="7" s="1"/>
  <c r="R10" i="4"/>
  <c r="F252" i="7"/>
  <c r="F282" i="7"/>
  <c r="F313" i="7"/>
  <c r="F343" i="7"/>
  <c r="E11" i="4"/>
  <c r="F41" i="7" s="1"/>
  <c r="F11" i="4"/>
  <c r="G11" i="4"/>
  <c r="F69" i="7" s="1"/>
  <c r="H11" i="4"/>
  <c r="I11" i="4"/>
  <c r="F100" i="7" s="1"/>
  <c r="J11" i="4"/>
  <c r="K11" i="4"/>
  <c r="F130" i="7" s="1"/>
  <c r="L11" i="4"/>
  <c r="M11" i="4"/>
  <c r="F161" i="7" s="1"/>
  <c r="N11" i="4"/>
  <c r="O11" i="4"/>
  <c r="F191" i="7" s="1"/>
  <c r="P11" i="4"/>
  <c r="Q11" i="4"/>
  <c r="F222" i="7" s="1"/>
  <c r="R11" i="4"/>
  <c r="F253" i="7"/>
  <c r="F283" i="7"/>
  <c r="F314" i="7"/>
  <c r="F344" i="7"/>
  <c r="E12" i="4"/>
  <c r="F42" i="7" s="1"/>
  <c r="F12" i="4"/>
  <c r="G12" i="4"/>
  <c r="F70" i="7" s="1"/>
  <c r="H12" i="4"/>
  <c r="I12" i="4"/>
  <c r="F101" i="7" s="1"/>
  <c r="J12" i="4"/>
  <c r="K12" i="4"/>
  <c r="F131" i="7" s="1"/>
  <c r="L12" i="4"/>
  <c r="M12" i="4"/>
  <c r="F162" i="7" s="1"/>
  <c r="N12" i="4"/>
  <c r="O12" i="4"/>
  <c r="F192" i="7" s="1"/>
  <c r="P12" i="4"/>
  <c r="Q12" i="4"/>
  <c r="F223" i="7" s="1"/>
  <c r="R12" i="4"/>
  <c r="F254" i="7"/>
  <c r="F284" i="7"/>
  <c r="F315" i="7"/>
  <c r="F345" i="7"/>
  <c r="E13" i="4"/>
  <c r="F43" i="7" s="1"/>
  <c r="F13" i="4"/>
  <c r="G13" i="4"/>
  <c r="F71" i="7" s="1"/>
  <c r="H13" i="4"/>
  <c r="I13" i="4"/>
  <c r="F102" i="7" s="1"/>
  <c r="J13" i="4"/>
  <c r="K13" i="4"/>
  <c r="F132" i="7" s="1"/>
  <c r="L13" i="4"/>
  <c r="M13" i="4"/>
  <c r="F163" i="7" s="1"/>
  <c r="N13" i="4"/>
  <c r="O13" i="4"/>
  <c r="F193" i="7" s="1"/>
  <c r="P13" i="4"/>
  <c r="Q13" i="4"/>
  <c r="F224" i="7" s="1"/>
  <c r="R13" i="4"/>
  <c r="F255" i="7"/>
  <c r="F285" i="7"/>
  <c r="F316" i="7"/>
  <c r="F346" i="7"/>
  <c r="E14" i="4"/>
  <c r="F44" i="7" s="1"/>
  <c r="F14" i="4"/>
  <c r="G14" i="4"/>
  <c r="F72" i="7" s="1"/>
  <c r="H14" i="4"/>
  <c r="I14" i="4"/>
  <c r="F103" i="7" s="1"/>
  <c r="J14" i="4"/>
  <c r="K14" i="4"/>
  <c r="F133" i="7" s="1"/>
  <c r="L14" i="4"/>
  <c r="M14" i="4"/>
  <c r="F164" i="7" s="1"/>
  <c r="N14" i="4"/>
  <c r="O14" i="4"/>
  <c r="F194" i="7" s="1"/>
  <c r="P14" i="4"/>
  <c r="Q14" i="4"/>
  <c r="F225" i="7" s="1"/>
  <c r="R14" i="4"/>
  <c r="F256" i="7"/>
  <c r="F286" i="7"/>
  <c r="F317" i="7"/>
  <c r="F347" i="7"/>
  <c r="E15" i="4"/>
  <c r="F45" i="7" s="1"/>
  <c r="F15" i="4"/>
  <c r="G15" i="4"/>
  <c r="F73" i="7" s="1"/>
  <c r="H15" i="4"/>
  <c r="I15" i="4"/>
  <c r="F104" i="7" s="1"/>
  <c r="J15" i="4"/>
  <c r="K15" i="4"/>
  <c r="F134" i="7" s="1"/>
  <c r="L15" i="4"/>
  <c r="M15" i="4"/>
  <c r="F165" i="7" s="1"/>
  <c r="N15" i="4"/>
  <c r="O15" i="4"/>
  <c r="F195" i="7" s="1"/>
  <c r="P15" i="4"/>
  <c r="Q15" i="4"/>
  <c r="F226" i="7" s="1"/>
  <c r="R15" i="4"/>
  <c r="F257" i="7"/>
  <c r="F287" i="7"/>
  <c r="F318" i="7"/>
  <c r="F348" i="7"/>
  <c r="E16" i="4"/>
  <c r="F46" i="7" s="1"/>
  <c r="F16" i="4"/>
  <c r="G16" i="4"/>
  <c r="F74" i="7" s="1"/>
  <c r="H16" i="4"/>
  <c r="I16" i="4"/>
  <c r="F105" i="7" s="1"/>
  <c r="J16" i="4"/>
  <c r="K16" i="4"/>
  <c r="F135" i="7" s="1"/>
  <c r="L16" i="4"/>
  <c r="M16" i="4"/>
  <c r="F166" i="7" s="1"/>
  <c r="N16" i="4"/>
  <c r="O16" i="4"/>
  <c r="F196" i="7" s="1"/>
  <c r="P16" i="4"/>
  <c r="Q16" i="4"/>
  <c r="F227" i="7" s="1"/>
  <c r="R16" i="4"/>
  <c r="F258" i="7"/>
  <c r="F288" i="7"/>
  <c r="F319" i="7"/>
  <c r="F349" i="7"/>
  <c r="E17" i="4"/>
  <c r="F47" i="7" s="1"/>
  <c r="F17" i="4"/>
  <c r="G17" i="4"/>
  <c r="F75" i="7" s="1"/>
  <c r="H17" i="4"/>
  <c r="I17" i="4"/>
  <c r="F106" i="7" s="1"/>
  <c r="J17" i="4"/>
  <c r="K17" i="4"/>
  <c r="F136" i="7" s="1"/>
  <c r="L17" i="4"/>
  <c r="M17" i="4"/>
  <c r="F167" i="7" s="1"/>
  <c r="N17" i="4"/>
  <c r="O17" i="4"/>
  <c r="F197" i="7" s="1"/>
  <c r="P17" i="4"/>
  <c r="Q17" i="4"/>
  <c r="F228" i="7" s="1"/>
  <c r="R17" i="4"/>
  <c r="F259" i="7"/>
  <c r="F289" i="7"/>
  <c r="F320" i="7"/>
  <c r="F350" i="7"/>
  <c r="E18" i="4"/>
  <c r="F48" i="7" s="1"/>
  <c r="F18" i="4"/>
  <c r="G18" i="4"/>
  <c r="F76" i="7" s="1"/>
  <c r="H18" i="4"/>
  <c r="I18" i="4"/>
  <c r="F107" i="7" s="1"/>
  <c r="J18" i="4"/>
  <c r="K18" i="4"/>
  <c r="F137" i="7" s="1"/>
  <c r="L18" i="4"/>
  <c r="M18" i="4"/>
  <c r="F168" i="7" s="1"/>
  <c r="N18" i="4"/>
  <c r="O18" i="4"/>
  <c r="F198" i="7" s="1"/>
  <c r="P18" i="4"/>
  <c r="Q18" i="4"/>
  <c r="F229" i="7" s="1"/>
  <c r="R18" i="4"/>
  <c r="F260" i="7"/>
  <c r="F290" i="7"/>
  <c r="F321" i="7"/>
  <c r="F351" i="7"/>
  <c r="E19" i="4"/>
  <c r="F49" i="7" s="1"/>
  <c r="F19" i="4"/>
  <c r="G19" i="4"/>
  <c r="F77" i="7" s="1"/>
  <c r="H19" i="4"/>
  <c r="I19" i="4"/>
  <c r="F108" i="7" s="1"/>
  <c r="J19" i="4"/>
  <c r="K19" i="4"/>
  <c r="F138" i="7" s="1"/>
  <c r="L19" i="4"/>
  <c r="M19" i="4"/>
  <c r="F169" i="7" s="1"/>
  <c r="N19" i="4"/>
  <c r="O19" i="4"/>
  <c r="F199" i="7" s="1"/>
  <c r="P19" i="4"/>
  <c r="Q19" i="4"/>
  <c r="F230" i="7" s="1"/>
  <c r="R19" i="4"/>
  <c r="F261" i="7"/>
  <c r="F291" i="7"/>
  <c r="F322" i="7"/>
  <c r="F352" i="7"/>
  <c r="E20" i="4"/>
  <c r="F50" i="7" s="1"/>
  <c r="F20" i="4"/>
  <c r="G20" i="4"/>
  <c r="F78" i="7" s="1"/>
  <c r="H20" i="4"/>
  <c r="I20" i="4"/>
  <c r="F109" i="7" s="1"/>
  <c r="J20" i="4"/>
  <c r="K20" i="4"/>
  <c r="F139" i="7" s="1"/>
  <c r="L20" i="4"/>
  <c r="M20" i="4"/>
  <c r="F170" i="7" s="1"/>
  <c r="N20" i="4"/>
  <c r="O20" i="4"/>
  <c r="F200" i="7" s="1"/>
  <c r="P20" i="4"/>
  <c r="Q20" i="4"/>
  <c r="F231" i="7" s="1"/>
  <c r="R20" i="4"/>
  <c r="F262" i="7"/>
  <c r="F292" i="7"/>
  <c r="F323" i="7"/>
  <c r="F353" i="7"/>
  <c r="E21" i="4"/>
  <c r="F51" i="7" s="1"/>
  <c r="F21" i="4"/>
  <c r="G21" i="4"/>
  <c r="F79" i="7" s="1"/>
  <c r="H21" i="4"/>
  <c r="I21" i="4"/>
  <c r="F110" i="7" s="1"/>
  <c r="J21" i="4"/>
  <c r="K21" i="4"/>
  <c r="F140" i="7" s="1"/>
  <c r="L21" i="4"/>
  <c r="M21" i="4"/>
  <c r="F171" i="7" s="1"/>
  <c r="N21" i="4"/>
  <c r="O21" i="4"/>
  <c r="F201" i="7" s="1"/>
  <c r="P21" i="4"/>
  <c r="Q21" i="4"/>
  <c r="F232" i="7" s="1"/>
  <c r="R21" i="4"/>
  <c r="F263" i="7"/>
  <c r="F293" i="7"/>
  <c r="F324" i="7"/>
  <c r="F354" i="7"/>
  <c r="E22" i="4"/>
  <c r="F52" i="7" s="1"/>
  <c r="F22" i="4"/>
  <c r="G22" i="4"/>
  <c r="F80" i="7" s="1"/>
  <c r="H22" i="4"/>
  <c r="I22" i="4"/>
  <c r="F111" i="7" s="1"/>
  <c r="J22" i="4"/>
  <c r="K22" i="4"/>
  <c r="F141" i="7" s="1"/>
  <c r="L22" i="4"/>
  <c r="M22" i="4"/>
  <c r="F172" i="7" s="1"/>
  <c r="N22" i="4"/>
  <c r="O22" i="4"/>
  <c r="F202" i="7" s="1"/>
  <c r="P22" i="4"/>
  <c r="Q22" i="4"/>
  <c r="F233" i="7" s="1"/>
  <c r="R22" i="4"/>
  <c r="F264" i="7"/>
  <c r="F294" i="7"/>
  <c r="F325" i="7"/>
  <c r="F355" i="7"/>
  <c r="E23" i="4"/>
  <c r="F53" i="7" s="1"/>
  <c r="F23" i="4"/>
  <c r="G23" i="4"/>
  <c r="F81" i="7" s="1"/>
  <c r="H23" i="4"/>
  <c r="I23" i="4"/>
  <c r="F112" i="7" s="1"/>
  <c r="J23" i="4"/>
  <c r="K23" i="4"/>
  <c r="F142" i="7" s="1"/>
  <c r="L23" i="4"/>
  <c r="M23" i="4"/>
  <c r="F173" i="7" s="1"/>
  <c r="N23" i="4"/>
  <c r="O23" i="4"/>
  <c r="F203" i="7" s="1"/>
  <c r="P23" i="4"/>
  <c r="Q23" i="4"/>
  <c r="F234" i="7" s="1"/>
  <c r="R23" i="4"/>
  <c r="F265" i="7"/>
  <c r="F295" i="7"/>
  <c r="F326" i="7"/>
  <c r="F356" i="7"/>
  <c r="E24" i="4"/>
  <c r="F54" i="7" s="1"/>
  <c r="F24" i="4"/>
  <c r="G24" i="4"/>
  <c r="F82" i="7" s="1"/>
  <c r="H24" i="4"/>
  <c r="I24" i="4"/>
  <c r="F113" i="7" s="1"/>
  <c r="J24" i="4"/>
  <c r="K24" i="4"/>
  <c r="F143" i="7" s="1"/>
  <c r="L24" i="4"/>
  <c r="M24" i="4"/>
  <c r="F174" i="7" s="1"/>
  <c r="N24" i="4"/>
  <c r="O24" i="4"/>
  <c r="F204" i="7" s="1"/>
  <c r="P24" i="4"/>
  <c r="Q24" i="4"/>
  <c r="F235" i="7" s="1"/>
  <c r="R24" i="4"/>
  <c r="F266" i="7"/>
  <c r="F296" i="7"/>
  <c r="F327" i="7"/>
  <c r="F357" i="7"/>
  <c r="E25" i="4"/>
  <c r="F55" i="7" s="1"/>
  <c r="F25" i="4"/>
  <c r="G25" i="4"/>
  <c r="F83" i="7" s="1"/>
  <c r="H25" i="4"/>
  <c r="I25" i="4"/>
  <c r="F114" i="7" s="1"/>
  <c r="J25" i="4"/>
  <c r="K25" i="4"/>
  <c r="F144" i="7" s="1"/>
  <c r="L25" i="4"/>
  <c r="M25" i="4"/>
  <c r="F175" i="7" s="1"/>
  <c r="N25" i="4"/>
  <c r="O25" i="4"/>
  <c r="F205" i="7" s="1"/>
  <c r="P25" i="4"/>
  <c r="Q25" i="4"/>
  <c r="F236" i="7" s="1"/>
  <c r="R25" i="4"/>
  <c r="F267" i="7"/>
  <c r="F297" i="7"/>
  <c r="F328" i="7"/>
  <c r="F358" i="7"/>
  <c r="E26" i="4"/>
  <c r="F56" i="7" s="1"/>
  <c r="F26" i="4"/>
  <c r="G26" i="4"/>
  <c r="F84" i="7" s="1"/>
  <c r="H26" i="4"/>
  <c r="I26" i="4"/>
  <c r="F115" i="7" s="1"/>
  <c r="J26" i="4"/>
  <c r="K26" i="4"/>
  <c r="F145" i="7" s="1"/>
  <c r="L26" i="4"/>
  <c r="M26" i="4"/>
  <c r="F176" i="7" s="1"/>
  <c r="N26" i="4"/>
  <c r="O26" i="4"/>
  <c r="F206" i="7" s="1"/>
  <c r="P26" i="4"/>
  <c r="Q26" i="4"/>
  <c r="F237" i="7" s="1"/>
  <c r="R26" i="4"/>
  <c r="F268" i="7"/>
  <c r="F298" i="7"/>
  <c r="F329" i="7"/>
  <c r="F359" i="7"/>
  <c r="E27" i="4"/>
  <c r="F57" i="7" s="1"/>
  <c r="F27" i="4"/>
  <c r="G27" i="4"/>
  <c r="F85" i="7" s="1"/>
  <c r="H27" i="4"/>
  <c r="I27" i="4"/>
  <c r="F116" i="7" s="1"/>
  <c r="J27" i="4"/>
  <c r="K27" i="4"/>
  <c r="F146" i="7" s="1"/>
  <c r="L27" i="4"/>
  <c r="M27" i="4"/>
  <c r="F177" i="7" s="1"/>
  <c r="N27" i="4"/>
  <c r="O27" i="4"/>
  <c r="F207" i="7" s="1"/>
  <c r="P27" i="4"/>
  <c r="Q27" i="4"/>
  <c r="F238" i="7" s="1"/>
  <c r="R27" i="4"/>
  <c r="F269" i="7"/>
  <c r="F299" i="7"/>
  <c r="F330" i="7"/>
  <c r="F360" i="7"/>
  <c r="E28" i="4"/>
  <c r="F58" i="7" s="1"/>
  <c r="F28" i="4"/>
  <c r="G28" i="4"/>
  <c r="F86" i="7" s="1"/>
  <c r="H28" i="4"/>
  <c r="I28" i="4"/>
  <c r="F117" i="7" s="1"/>
  <c r="J28" i="4"/>
  <c r="K28" i="4"/>
  <c r="F147" i="7" s="1"/>
  <c r="L28" i="4"/>
  <c r="M28" i="4"/>
  <c r="F178" i="7" s="1"/>
  <c r="N28" i="4"/>
  <c r="O28" i="4"/>
  <c r="F208" i="7" s="1"/>
  <c r="P28" i="4"/>
  <c r="Q28" i="4"/>
  <c r="F239" i="7" s="1"/>
  <c r="R28" i="4"/>
  <c r="F270" i="7"/>
  <c r="F300" i="7"/>
  <c r="F331" i="7"/>
  <c r="F361" i="7"/>
  <c r="E29" i="4"/>
  <c r="F59" i="7" s="1"/>
  <c r="F29" i="4"/>
  <c r="G29" i="4"/>
  <c r="F87" i="7" s="1"/>
  <c r="H29" i="4"/>
  <c r="I29" i="4"/>
  <c r="F118" i="7" s="1"/>
  <c r="J29" i="4"/>
  <c r="K29" i="4"/>
  <c r="F148" i="7" s="1"/>
  <c r="L29" i="4"/>
  <c r="M29" i="4"/>
  <c r="F179" i="7" s="1"/>
  <c r="N29" i="4"/>
  <c r="O29" i="4"/>
  <c r="F209" i="7" s="1"/>
  <c r="P29" i="4"/>
  <c r="Q29" i="4"/>
  <c r="F240" i="7" s="1"/>
  <c r="R29" i="4"/>
  <c r="F271" i="7"/>
  <c r="F301" i="7"/>
  <c r="F332" i="7"/>
  <c r="F362" i="7"/>
  <c r="E30" i="4"/>
  <c r="F60" i="7" s="1"/>
  <c r="F30" i="4"/>
  <c r="G30" i="4"/>
  <c r="F88" i="7" s="1"/>
  <c r="H30" i="4"/>
  <c r="I30" i="4"/>
  <c r="F119" i="7" s="1"/>
  <c r="J30" i="4"/>
  <c r="K30" i="4"/>
  <c r="F149" i="7" s="1"/>
  <c r="L30" i="4"/>
  <c r="M30" i="4"/>
  <c r="F180" i="7" s="1"/>
  <c r="N30" i="4"/>
  <c r="O30" i="4"/>
  <c r="F210" i="7" s="1"/>
  <c r="P30" i="4"/>
  <c r="Q30" i="4"/>
  <c r="F241" i="7" s="1"/>
  <c r="R30" i="4"/>
  <c r="F272" i="7"/>
  <c r="F302" i="7"/>
  <c r="F333" i="7"/>
  <c r="F363" i="7"/>
  <c r="E31" i="4"/>
  <c r="F61" i="7" s="1"/>
  <c r="F31" i="4"/>
  <c r="G31" i="4"/>
  <c r="F89" i="7" s="1"/>
  <c r="H31" i="4"/>
  <c r="I31" i="4"/>
  <c r="F120" i="7" s="1"/>
  <c r="J31" i="4"/>
  <c r="K31" i="4"/>
  <c r="F150" i="7" s="1"/>
  <c r="L31" i="4"/>
  <c r="M31" i="4"/>
  <c r="F181" i="7" s="1"/>
  <c r="N31" i="4"/>
  <c r="O31" i="4"/>
  <c r="F211" i="7" s="1"/>
  <c r="P31" i="4"/>
  <c r="Q31" i="4"/>
  <c r="F242" i="7" s="1"/>
  <c r="R31" i="4"/>
  <c r="F273" i="7"/>
  <c r="F303" i="7"/>
  <c r="F334" i="7"/>
  <c r="F364" i="7"/>
  <c r="G32" i="4"/>
  <c r="F90" i="7" s="1"/>
  <c r="H32" i="4"/>
  <c r="I32" i="4"/>
  <c r="F121" i="7" s="1"/>
  <c r="J32" i="4"/>
  <c r="K32" i="4"/>
  <c r="F151" i="7" s="1"/>
  <c r="L32" i="4"/>
  <c r="M32" i="4"/>
  <c r="F182" i="7" s="1"/>
  <c r="N32" i="4"/>
  <c r="O32" i="4"/>
  <c r="F212" i="7" s="1"/>
  <c r="P32" i="4"/>
  <c r="Q32" i="4"/>
  <c r="F243" i="7" s="1"/>
  <c r="R32" i="4"/>
  <c r="F274" i="7"/>
  <c r="F304" i="7"/>
  <c r="F335" i="7"/>
  <c r="F365" i="7"/>
  <c r="G33" i="4"/>
  <c r="F91" i="7" s="1"/>
  <c r="H33" i="4"/>
  <c r="I33" i="4"/>
  <c r="F122" i="7" s="1"/>
  <c r="J33" i="4"/>
  <c r="K33" i="4"/>
  <c r="F152" i="7" s="1"/>
  <c r="L33" i="4"/>
  <c r="M33" i="4"/>
  <c r="F183" i="7" s="1"/>
  <c r="N33" i="4"/>
  <c r="O33" i="4"/>
  <c r="F213" i="7" s="1"/>
  <c r="P33" i="4"/>
  <c r="Q33" i="4"/>
  <c r="F244" i="7" s="1"/>
  <c r="R33" i="4"/>
  <c r="F275" i="7"/>
  <c r="F305" i="7"/>
  <c r="F336" i="7"/>
  <c r="F366" i="7"/>
  <c r="G34" i="4"/>
  <c r="F92" i="7" s="1"/>
  <c r="H34" i="4"/>
  <c r="I34" i="4"/>
  <c r="F123" i="7" s="1"/>
  <c r="J34" i="4"/>
  <c r="K34" i="4"/>
  <c r="F153" i="7" s="1"/>
  <c r="L34" i="4"/>
  <c r="M34" i="4"/>
  <c r="F184" i="7" s="1"/>
  <c r="N34" i="4"/>
  <c r="O34" i="4"/>
  <c r="F214" i="7" s="1"/>
  <c r="P34" i="4"/>
  <c r="Q34" i="4"/>
  <c r="F245" i="7" s="1"/>
  <c r="R34" i="4"/>
  <c r="F276" i="7"/>
  <c r="F306" i="7"/>
  <c r="F337" i="7"/>
  <c r="F367" i="7"/>
  <c r="G35" i="4"/>
  <c r="F93" i="7" s="1"/>
  <c r="H35" i="4"/>
  <c r="K35" i="4"/>
  <c r="F154" i="7" s="1"/>
  <c r="L35" i="4"/>
  <c r="O35" i="4"/>
  <c r="F215" i="7" s="1"/>
  <c r="P35" i="4"/>
  <c r="Q35" i="4"/>
  <c r="F246" i="7" s="1"/>
  <c r="R35" i="4"/>
  <c r="F307" i="7"/>
  <c r="F368" i="7"/>
  <c r="D6" i="4"/>
  <c r="G5" i="7" s="1"/>
  <c r="D7" i="4"/>
  <c r="G6" i="7" s="1"/>
  <c r="D8" i="4"/>
  <c r="G7" i="7" s="1"/>
  <c r="D9" i="4"/>
  <c r="G8" i="7" s="1"/>
  <c r="D10" i="4"/>
  <c r="G9" i="7" s="1"/>
  <c r="D11" i="4"/>
  <c r="G10" i="7" s="1"/>
  <c r="D12" i="4"/>
  <c r="G11" i="7" s="1"/>
  <c r="D13" i="4"/>
  <c r="G12" i="7" s="1"/>
  <c r="D14" i="4"/>
  <c r="G13" i="7" s="1"/>
  <c r="D15" i="4"/>
  <c r="G14" i="7" s="1"/>
  <c r="D16" i="4"/>
  <c r="G15" i="7" s="1"/>
  <c r="D17" i="4"/>
  <c r="G16" i="7" s="1"/>
  <c r="D18" i="4"/>
  <c r="G17" i="7" s="1"/>
  <c r="D19" i="4"/>
  <c r="G18" i="7" s="1"/>
  <c r="D20" i="4"/>
  <c r="G19" i="7" s="1"/>
  <c r="D21" i="4"/>
  <c r="G20" i="7" s="1"/>
  <c r="D22" i="4"/>
  <c r="G21" i="7" s="1"/>
  <c r="D23" i="4"/>
  <c r="G22" i="7" s="1"/>
  <c r="D24" i="4"/>
  <c r="G23" i="7" s="1"/>
  <c r="D25" i="4"/>
  <c r="G24" i="7" s="1"/>
  <c r="D26" i="4"/>
  <c r="G25" i="7" s="1"/>
  <c r="D27" i="4"/>
  <c r="G26" i="7" s="1"/>
  <c r="D28" i="4"/>
  <c r="G27" i="7" s="1"/>
  <c r="D29" i="4"/>
  <c r="G28" i="7" s="1"/>
  <c r="D30" i="4"/>
  <c r="G29" i="7" s="1"/>
  <c r="D31" i="4"/>
  <c r="G30" i="7" s="1"/>
  <c r="D32" i="4"/>
  <c r="G31" i="7" s="1"/>
  <c r="D33" i="4"/>
  <c r="G32" i="7" s="1"/>
  <c r="D34" i="4"/>
  <c r="G33" i="7" s="1"/>
  <c r="D35" i="4"/>
  <c r="G34" i="7" s="1"/>
  <c r="D5" i="4"/>
  <c r="G4" i="7" s="1"/>
  <c r="C6" i="4"/>
  <c r="F5" i="7" s="1"/>
  <c r="C7" i="4"/>
  <c r="F6" i="7" s="1"/>
  <c r="C8" i="4"/>
  <c r="F7" i="7" s="1"/>
  <c r="C9" i="4"/>
  <c r="F8" i="7" s="1"/>
  <c r="C10" i="4"/>
  <c r="F9" i="7" s="1"/>
  <c r="C12" i="4"/>
  <c r="F11" i="7" s="1"/>
  <c r="C13" i="4"/>
  <c r="F12" i="7" s="1"/>
  <c r="C14" i="4"/>
  <c r="F13" i="7" s="1"/>
  <c r="C15" i="4"/>
  <c r="F14" i="7" s="1"/>
  <c r="C16" i="4"/>
  <c r="F15" i="7" s="1"/>
  <c r="C17" i="4"/>
  <c r="F16" i="7" s="1"/>
  <c r="C18" i="4"/>
  <c r="F17" i="7" s="1"/>
  <c r="C19" i="4"/>
  <c r="F18" i="7" s="1"/>
  <c r="C20" i="4"/>
  <c r="F19" i="7" s="1"/>
  <c r="C21" i="4"/>
  <c r="F20" i="7" s="1"/>
  <c r="C22" i="4"/>
  <c r="F21" i="7" s="1"/>
  <c r="C23" i="4"/>
  <c r="F22" i="7" s="1"/>
  <c r="C24" i="4"/>
  <c r="F23" i="7" s="1"/>
  <c r="C25" i="4"/>
  <c r="F24" i="7" s="1"/>
  <c r="C26" i="4"/>
  <c r="F25" i="7" s="1"/>
  <c r="C27" i="4"/>
  <c r="F26" i="7" s="1"/>
  <c r="C28" i="4"/>
  <c r="F27" i="7" s="1"/>
  <c r="C29" i="4"/>
  <c r="F28" i="7" s="1"/>
  <c r="C30" i="4"/>
  <c r="F29" i="7" s="1"/>
  <c r="C31" i="4"/>
  <c r="F30" i="7" s="1"/>
  <c r="C32" i="4"/>
  <c r="F31" i="7" s="1"/>
  <c r="C33" i="4"/>
  <c r="F32" i="7" s="1"/>
  <c r="C34" i="4"/>
  <c r="F33" i="7" s="1"/>
  <c r="C35" i="4"/>
  <c r="F34" i="7" s="1"/>
  <c r="C5" i="4"/>
  <c r="F4" i="7" s="1"/>
  <c r="G6" i="2"/>
  <c r="F6" i="2"/>
  <c r="H5" i="2"/>
  <c r="H3" i="2" l="1"/>
  <c r="F138" i="12"/>
  <c r="F126" i="12"/>
  <c r="F114" i="12"/>
  <c r="F102" i="12"/>
  <c r="F90" i="12"/>
  <c r="F78" i="12"/>
  <c r="F66" i="12"/>
  <c r="E3" i="12"/>
  <c r="F30" i="12"/>
  <c r="F40" i="12"/>
  <c r="E4" i="12"/>
  <c r="H4" i="7"/>
  <c r="H6" i="7"/>
  <c r="H64" i="7"/>
  <c r="H352" i="7"/>
  <c r="H220" i="7"/>
  <c r="H100" i="7"/>
  <c r="H365" i="7"/>
  <c r="H353" i="7"/>
  <c r="H341" i="7"/>
  <c r="H329" i="7"/>
  <c r="H317" i="7"/>
  <c r="H305" i="7"/>
  <c r="H293" i="7"/>
  <c r="H281" i="7"/>
  <c r="H269" i="7"/>
  <c r="H257" i="7"/>
  <c r="H245" i="7"/>
  <c r="H233" i="7"/>
  <c r="H221" i="7"/>
  <c r="H209" i="7"/>
  <c r="H197" i="7"/>
  <c r="H185" i="7"/>
  <c r="H173" i="7"/>
  <c r="H161" i="7"/>
  <c r="H149" i="7"/>
  <c r="H137" i="7"/>
  <c r="H125" i="7"/>
  <c r="H113" i="7"/>
  <c r="H101" i="7"/>
  <c r="H89" i="7"/>
  <c r="H77" i="7"/>
  <c r="H65" i="7"/>
  <c r="H53" i="7"/>
  <c r="H41" i="7"/>
  <c r="H29" i="7"/>
  <c r="H17" i="7"/>
  <c r="H292" i="7"/>
  <c r="H172" i="7"/>
  <c r="H76" i="7"/>
  <c r="H363" i="7"/>
  <c r="H351" i="7"/>
  <c r="H339" i="7"/>
  <c r="H327" i="7"/>
  <c r="H315" i="7"/>
  <c r="H303" i="7"/>
  <c r="H291" i="7"/>
  <c r="H279" i="7"/>
  <c r="H267" i="7"/>
  <c r="H255" i="7"/>
  <c r="H243" i="7"/>
  <c r="H231" i="7"/>
  <c r="H219" i="7"/>
  <c r="H207" i="7"/>
  <c r="H195" i="7"/>
  <c r="H183" i="7"/>
  <c r="H171" i="7"/>
  <c r="H159" i="7"/>
  <c r="H147" i="7"/>
  <c r="H135" i="7"/>
  <c r="H123" i="7"/>
  <c r="H111" i="7"/>
  <c r="H99" i="7"/>
  <c r="H87" i="7"/>
  <c r="H75" i="7"/>
  <c r="H63" i="7"/>
  <c r="H51" i="7"/>
  <c r="H39" i="7"/>
  <c r="H27" i="7"/>
  <c r="H15" i="7"/>
  <c r="H316" i="7"/>
  <c r="H208" i="7"/>
  <c r="H88" i="7"/>
  <c r="H362" i="7"/>
  <c r="H350" i="7"/>
  <c r="H338" i="7"/>
  <c r="H326" i="7"/>
  <c r="H314" i="7"/>
  <c r="H302" i="7"/>
  <c r="H290" i="7"/>
  <c r="H278" i="7"/>
  <c r="H266" i="7"/>
  <c r="H254" i="7"/>
  <c r="H242" i="7"/>
  <c r="H230" i="7"/>
  <c r="H218" i="7"/>
  <c r="H206" i="7"/>
  <c r="H194" i="7"/>
  <c r="H182" i="7"/>
  <c r="H170" i="7"/>
  <c r="H158" i="7"/>
  <c r="H146" i="7"/>
  <c r="H134" i="7"/>
  <c r="H122" i="7"/>
  <c r="H110" i="7"/>
  <c r="H98" i="7"/>
  <c r="H86" i="7"/>
  <c r="H74" i="7"/>
  <c r="H62" i="7"/>
  <c r="H50" i="7"/>
  <c r="H38" i="7"/>
  <c r="H26" i="7"/>
  <c r="H14" i="7"/>
  <c r="H280" i="7"/>
  <c r="H160" i="7"/>
  <c r="H52" i="7"/>
  <c r="H361" i="7"/>
  <c r="H349" i="7"/>
  <c r="H337" i="7"/>
  <c r="H325" i="7"/>
  <c r="H313" i="7"/>
  <c r="H301" i="7"/>
  <c r="H289" i="7"/>
  <c r="H277" i="7"/>
  <c r="H265" i="7"/>
  <c r="H253" i="7"/>
  <c r="H241" i="7"/>
  <c r="H229" i="7"/>
  <c r="H217" i="7"/>
  <c r="H205" i="7"/>
  <c r="H193" i="7"/>
  <c r="H181" i="7"/>
  <c r="H169" i="7"/>
  <c r="H157" i="7"/>
  <c r="H145" i="7"/>
  <c r="H133" i="7"/>
  <c r="H121" i="7"/>
  <c r="H109" i="7"/>
  <c r="H97" i="7"/>
  <c r="H85" i="7"/>
  <c r="H73" i="7"/>
  <c r="H61" i="7"/>
  <c r="H49" i="7"/>
  <c r="H37" i="7"/>
  <c r="H25" i="7"/>
  <c r="H13" i="7"/>
  <c r="H244" i="7"/>
  <c r="H40" i="7"/>
  <c r="H360" i="7"/>
  <c r="H348" i="7"/>
  <c r="H336" i="7"/>
  <c r="H324" i="7"/>
  <c r="H312" i="7"/>
  <c r="H300" i="7"/>
  <c r="H288" i="7"/>
  <c r="H276" i="7"/>
  <c r="H264" i="7"/>
  <c r="H252" i="7"/>
  <c r="H240" i="7"/>
  <c r="H228" i="7"/>
  <c r="H216" i="7"/>
  <c r="H204" i="7"/>
  <c r="H192" i="7"/>
  <c r="H180" i="7"/>
  <c r="H168" i="7"/>
  <c r="H156" i="7"/>
  <c r="H144" i="7"/>
  <c r="H132" i="7"/>
  <c r="H120" i="7"/>
  <c r="H108" i="7"/>
  <c r="H96" i="7"/>
  <c r="H84" i="7"/>
  <c r="H72" i="7"/>
  <c r="H60" i="7"/>
  <c r="H48" i="7"/>
  <c r="H36" i="7"/>
  <c r="H24" i="7"/>
  <c r="H12" i="7"/>
  <c r="H364" i="7"/>
  <c r="H16" i="7"/>
  <c r="H359" i="7"/>
  <c r="H347" i="7"/>
  <c r="H335" i="7"/>
  <c r="H323" i="7"/>
  <c r="H311" i="7"/>
  <c r="H299" i="7"/>
  <c r="H287" i="7"/>
  <c r="H275" i="7"/>
  <c r="H263" i="7"/>
  <c r="H251" i="7"/>
  <c r="H239" i="7"/>
  <c r="H227" i="7"/>
  <c r="H215" i="7"/>
  <c r="H203" i="7"/>
  <c r="H191" i="7"/>
  <c r="H179" i="7"/>
  <c r="H167" i="7"/>
  <c r="H155" i="7"/>
  <c r="H143" i="7"/>
  <c r="H131" i="7"/>
  <c r="H119" i="7"/>
  <c r="H107" i="7"/>
  <c r="H95" i="7"/>
  <c r="H83" i="7"/>
  <c r="H71" i="7"/>
  <c r="H59" i="7"/>
  <c r="H47" i="7"/>
  <c r="H35" i="7"/>
  <c r="H23" i="7"/>
  <c r="H11" i="7"/>
  <c r="H340" i="7"/>
  <c r="H232" i="7"/>
  <c r="H28" i="7"/>
  <c r="H358" i="7"/>
  <c r="H346" i="7"/>
  <c r="H334" i="7"/>
  <c r="H322" i="7"/>
  <c r="H310" i="7"/>
  <c r="H298" i="7"/>
  <c r="H286" i="7"/>
  <c r="H274" i="7"/>
  <c r="H262" i="7"/>
  <c r="H250" i="7"/>
  <c r="H238" i="7"/>
  <c r="H226" i="7"/>
  <c r="H214" i="7"/>
  <c r="H202" i="7"/>
  <c r="H190" i="7"/>
  <c r="H178" i="7"/>
  <c r="H166" i="7"/>
  <c r="H154" i="7"/>
  <c r="H142" i="7"/>
  <c r="H130" i="7"/>
  <c r="H118" i="7"/>
  <c r="H106" i="7"/>
  <c r="H94" i="7"/>
  <c r="H82" i="7"/>
  <c r="H70" i="7"/>
  <c r="H58" i="7"/>
  <c r="H46" i="7"/>
  <c r="H34" i="7"/>
  <c r="H22" i="7"/>
  <c r="H10" i="7"/>
  <c r="H328" i="7"/>
  <c r="H184" i="7"/>
  <c r="H124" i="7"/>
  <c r="H357" i="7"/>
  <c r="H345" i="7"/>
  <c r="H333" i="7"/>
  <c r="H321" i="7"/>
  <c r="H309" i="7"/>
  <c r="H297" i="7"/>
  <c r="H285" i="7"/>
  <c r="H273" i="7"/>
  <c r="H261" i="7"/>
  <c r="H249" i="7"/>
  <c r="H237" i="7"/>
  <c r="H225" i="7"/>
  <c r="H213" i="7"/>
  <c r="H201" i="7"/>
  <c r="H189" i="7"/>
  <c r="H177" i="7"/>
  <c r="H165" i="7"/>
  <c r="H153" i="7"/>
  <c r="H141" i="7"/>
  <c r="H129" i="7"/>
  <c r="H117" i="7"/>
  <c r="H105" i="7"/>
  <c r="H93" i="7"/>
  <c r="H81" i="7"/>
  <c r="H69" i="7"/>
  <c r="H57" i="7"/>
  <c r="H45" i="7"/>
  <c r="H33" i="7"/>
  <c r="H21" i="7"/>
  <c r="H9" i="7"/>
  <c r="H304" i="7"/>
  <c r="H196" i="7"/>
  <c r="H112" i="7"/>
  <c r="H368" i="7"/>
  <c r="H356" i="7"/>
  <c r="H344" i="7"/>
  <c r="H332" i="7"/>
  <c r="H320" i="7"/>
  <c r="H308" i="7"/>
  <c r="H296" i="7"/>
  <c r="H284" i="7"/>
  <c r="H272" i="7"/>
  <c r="H260" i="7"/>
  <c r="H248" i="7"/>
  <c r="H236" i="7"/>
  <c r="H224" i="7"/>
  <c r="H212" i="7"/>
  <c r="H200" i="7"/>
  <c r="H188" i="7"/>
  <c r="H176" i="7"/>
  <c r="H164" i="7"/>
  <c r="H152" i="7"/>
  <c r="H140" i="7"/>
  <c r="H128" i="7"/>
  <c r="H116" i="7"/>
  <c r="H104" i="7"/>
  <c r="H92" i="7"/>
  <c r="H80" i="7"/>
  <c r="H68" i="7"/>
  <c r="H56" i="7"/>
  <c r="H44" i="7"/>
  <c r="H32" i="7"/>
  <c r="H20" i="7"/>
  <c r="H8" i="7"/>
  <c r="H268" i="7"/>
  <c r="H148" i="7"/>
  <c r="H136" i="7"/>
  <c r="H367" i="7"/>
  <c r="H355" i="7"/>
  <c r="H343" i="7"/>
  <c r="H331" i="7"/>
  <c r="H319" i="7"/>
  <c r="H307" i="7"/>
  <c r="H295" i="7"/>
  <c r="H283" i="7"/>
  <c r="H271" i="7"/>
  <c r="H259" i="7"/>
  <c r="H247" i="7"/>
  <c r="H235" i="7"/>
  <c r="H223" i="7"/>
  <c r="H211" i="7"/>
  <c r="H199" i="7"/>
  <c r="H187" i="7"/>
  <c r="H175" i="7"/>
  <c r="H163" i="7"/>
  <c r="H151" i="7"/>
  <c r="H139" i="7"/>
  <c r="H127" i="7"/>
  <c r="H115" i="7"/>
  <c r="H103" i="7"/>
  <c r="H91" i="7"/>
  <c r="H79" i="7"/>
  <c r="H67" i="7"/>
  <c r="H55" i="7"/>
  <c r="H43" i="7"/>
  <c r="H31" i="7"/>
  <c r="H19" i="7"/>
  <c r="H7" i="7"/>
  <c r="H256" i="7"/>
  <c r="H366" i="7"/>
  <c r="H354" i="7"/>
  <c r="H342" i="7"/>
  <c r="H330" i="7"/>
  <c r="H318" i="7"/>
  <c r="H306" i="7"/>
  <c r="H294" i="7"/>
  <c r="H282" i="7"/>
  <c r="H270" i="7"/>
  <c r="H258" i="7"/>
  <c r="H246" i="7"/>
  <c r="H234" i="7"/>
  <c r="H222" i="7"/>
  <c r="H210" i="7"/>
  <c r="H198" i="7"/>
  <c r="H186" i="7"/>
  <c r="H174" i="7"/>
  <c r="H162" i="7"/>
  <c r="H150" i="7"/>
  <c r="H138" i="7"/>
  <c r="H126" i="7"/>
  <c r="H114" i="7"/>
  <c r="H102" i="7"/>
  <c r="H90" i="7"/>
  <c r="H78" i="7"/>
  <c r="H66" i="7"/>
  <c r="H54" i="7"/>
  <c r="H42" i="7"/>
  <c r="H30" i="7"/>
  <c r="H18" i="7"/>
  <c r="H5" i="7"/>
  <c r="F103" i="12"/>
  <c r="F54" i="12"/>
  <c r="F18" i="12"/>
  <c r="E139" i="12"/>
  <c r="E127" i="12"/>
  <c r="E115" i="12"/>
  <c r="E103" i="12"/>
  <c r="E91" i="12"/>
  <c r="E79" i="12"/>
  <c r="E67" i="12"/>
  <c r="E55" i="12"/>
  <c r="F31" i="12"/>
  <c r="F19" i="12"/>
  <c r="F115" i="12"/>
  <c r="F137" i="12"/>
  <c r="F125" i="12"/>
  <c r="F113" i="12"/>
  <c r="F101" i="12"/>
  <c r="F89" i="12"/>
  <c r="F77" i="12"/>
  <c r="F65" i="12"/>
  <c r="F29" i="12"/>
  <c r="F91" i="12"/>
  <c r="F136" i="12"/>
  <c r="F124" i="12"/>
  <c r="F112" i="12"/>
  <c r="F100" i="12"/>
  <c r="F88" i="12"/>
  <c r="F76" i="12"/>
  <c r="F64" i="12"/>
  <c r="F52" i="12"/>
  <c r="F28" i="12"/>
  <c r="F16" i="12"/>
  <c r="F79" i="12"/>
  <c r="F135" i="12"/>
  <c r="F123" i="12"/>
  <c r="F111" i="12"/>
  <c r="F99" i="12"/>
  <c r="F87" i="12"/>
  <c r="F75" i="12"/>
  <c r="F63" i="12"/>
  <c r="F51" i="12"/>
  <c r="F39" i="12"/>
  <c r="F27" i="12"/>
  <c r="F15" i="12"/>
  <c r="F67" i="12"/>
  <c r="F146" i="12"/>
  <c r="F134" i="12"/>
  <c r="F122" i="12"/>
  <c r="F110" i="12"/>
  <c r="F98" i="12"/>
  <c r="F86" i="12"/>
  <c r="F74" i="12"/>
  <c r="F62" i="12"/>
  <c r="F50" i="12"/>
  <c r="E38" i="12"/>
  <c r="E26" i="12"/>
  <c r="F14" i="12"/>
  <c r="F145" i="12"/>
  <c r="F133" i="12"/>
  <c r="F121" i="12"/>
  <c r="F109" i="12"/>
  <c r="F97" i="12"/>
  <c r="F85" i="12"/>
  <c r="F73" i="12"/>
  <c r="F61" i="12"/>
  <c r="E37" i="12"/>
  <c r="F25" i="12"/>
  <c r="E53" i="12"/>
  <c r="E31" i="12"/>
  <c r="F144" i="12"/>
  <c r="F132" i="12"/>
  <c r="F120" i="12"/>
  <c r="F108" i="12"/>
  <c r="F96" i="12"/>
  <c r="F84" i="12"/>
  <c r="F72" i="12"/>
  <c r="F60" i="12"/>
  <c r="F48" i="12"/>
  <c r="E36" i="12"/>
  <c r="E24" i="12"/>
  <c r="F12" i="12"/>
  <c r="F143" i="12"/>
  <c r="F131" i="12"/>
  <c r="F119" i="12"/>
  <c r="F107" i="12"/>
  <c r="F95" i="12"/>
  <c r="F83" i="12"/>
  <c r="F71" i="12"/>
  <c r="F59" i="12"/>
  <c r="E35" i="12"/>
  <c r="E23" i="12"/>
  <c r="F142" i="12"/>
  <c r="F130" i="12"/>
  <c r="F118" i="12"/>
  <c r="F106" i="12"/>
  <c r="F94" i="12"/>
  <c r="F82" i="12"/>
  <c r="F70" i="12"/>
  <c r="F58" i="12"/>
  <c r="F46" i="12"/>
  <c r="E34" i="12"/>
  <c r="E22" i="12"/>
  <c r="F141" i="12"/>
  <c r="F129" i="12"/>
  <c r="F117" i="12"/>
  <c r="F105" i="12"/>
  <c r="F93" i="12"/>
  <c r="F81" i="12"/>
  <c r="F69" i="12"/>
  <c r="F57" i="12"/>
  <c r="F45" i="12"/>
  <c r="E33" i="12"/>
  <c r="E21" i="12"/>
  <c r="F9" i="12"/>
  <c r="F139" i="12"/>
  <c r="E140" i="12"/>
  <c r="E128" i="12"/>
  <c r="E116" i="12"/>
  <c r="E104" i="12"/>
  <c r="E92" i="12"/>
  <c r="E80" i="12"/>
  <c r="E68" i="12"/>
  <c r="E56" i="12"/>
  <c r="F44" i="12"/>
  <c r="F32" i="12"/>
  <c r="F20" i="12"/>
  <c r="E8" i="12"/>
  <c r="F127" i="12"/>
  <c r="F37" i="12"/>
  <c r="F140" i="12"/>
  <c r="F128" i="12"/>
  <c r="F116" i="12"/>
  <c r="F104" i="12"/>
  <c r="F92" i="12"/>
  <c r="F80" i="12"/>
  <c r="F68" i="12"/>
  <c r="F56" i="12"/>
  <c r="F38" i="12"/>
  <c r="F26" i="12"/>
  <c r="E32" i="12"/>
  <c r="E20" i="12"/>
  <c r="E90" i="12"/>
  <c r="F36" i="12"/>
  <c r="F24" i="12"/>
  <c r="E137" i="12"/>
  <c r="E125" i="12"/>
  <c r="E113" i="12"/>
  <c r="E101" i="12"/>
  <c r="E89" i="12"/>
  <c r="E77" i="12"/>
  <c r="E65" i="12"/>
  <c r="E50" i="12"/>
  <c r="E30" i="12"/>
  <c r="E14" i="12"/>
  <c r="F10" i="12"/>
  <c r="E78" i="12"/>
  <c r="F35" i="12"/>
  <c r="F23" i="12"/>
  <c r="F8" i="12"/>
  <c r="E136" i="12"/>
  <c r="E124" i="12"/>
  <c r="E112" i="12"/>
  <c r="E100" i="12"/>
  <c r="E88" i="12"/>
  <c r="E76" i="12"/>
  <c r="E64" i="12"/>
  <c r="E44" i="12"/>
  <c r="E29" i="12"/>
  <c r="E102" i="12"/>
  <c r="F34" i="12"/>
  <c r="F22" i="12"/>
  <c r="F3" i="12"/>
  <c r="E135" i="12"/>
  <c r="E123" i="12"/>
  <c r="E111" i="12"/>
  <c r="E99" i="12"/>
  <c r="E87" i="12"/>
  <c r="E75" i="12"/>
  <c r="E63" i="12"/>
  <c r="E40" i="12"/>
  <c r="E28" i="12"/>
  <c r="E114" i="12"/>
  <c r="F33" i="12"/>
  <c r="F21" i="12"/>
  <c r="E146" i="12"/>
  <c r="E134" i="12"/>
  <c r="E122" i="12"/>
  <c r="E110" i="12"/>
  <c r="E98" i="12"/>
  <c r="E86" i="12"/>
  <c r="E74" i="12"/>
  <c r="E62" i="12"/>
  <c r="E39" i="12"/>
  <c r="E27" i="12"/>
  <c r="E138" i="12"/>
  <c r="E145" i="12"/>
  <c r="E133" i="12"/>
  <c r="E121" i="12"/>
  <c r="E109" i="12"/>
  <c r="E97" i="12"/>
  <c r="E85" i="12"/>
  <c r="E73" i="12"/>
  <c r="E61" i="12"/>
  <c r="E126" i="12"/>
  <c r="F43" i="12"/>
  <c r="F7" i="12"/>
  <c r="E144" i="12"/>
  <c r="E132" i="12"/>
  <c r="E120" i="12"/>
  <c r="E108" i="12"/>
  <c r="E96" i="12"/>
  <c r="E84" i="12"/>
  <c r="E72" i="12"/>
  <c r="E60" i="12"/>
  <c r="E25" i="12"/>
  <c r="F55" i="12"/>
  <c r="E66" i="12"/>
  <c r="F42" i="12"/>
  <c r="F6" i="12"/>
  <c r="E143" i="12"/>
  <c r="E131" i="12"/>
  <c r="E119" i="12"/>
  <c r="E107" i="12"/>
  <c r="E95" i="12"/>
  <c r="E83" i="12"/>
  <c r="E71" i="12"/>
  <c r="E59" i="12"/>
  <c r="E16" i="12"/>
  <c r="E41" i="12"/>
  <c r="E5" i="12"/>
  <c r="E142" i="12"/>
  <c r="E130" i="12"/>
  <c r="E118" i="12"/>
  <c r="E106" i="12"/>
  <c r="E94" i="12"/>
  <c r="E82" i="12"/>
  <c r="E70" i="12"/>
  <c r="E58" i="12"/>
  <c r="E141" i="12"/>
  <c r="E129" i="12"/>
  <c r="E117" i="12"/>
  <c r="E105" i="12"/>
  <c r="E93" i="12"/>
  <c r="E81" i="12"/>
  <c r="E69" i="12"/>
  <c r="E57" i="12"/>
  <c r="E6" i="12"/>
  <c r="E54" i="12"/>
  <c r="E42" i="12"/>
  <c r="E17" i="12"/>
  <c r="E52" i="12"/>
  <c r="E15" i="12"/>
  <c r="F53" i="12"/>
  <c r="F41" i="12"/>
  <c r="F17" i="12"/>
  <c r="E51" i="12"/>
  <c r="E13" i="12"/>
  <c r="E49" i="12"/>
  <c r="E12" i="12"/>
  <c r="E48" i="12"/>
  <c r="E11" i="12"/>
  <c r="F49" i="12"/>
  <c r="F13" i="12"/>
  <c r="E47" i="12"/>
  <c r="E10" i="12"/>
  <c r="E46" i="12"/>
  <c r="E9" i="12"/>
  <c r="F47" i="12"/>
  <c r="F11" i="12"/>
  <c r="E45" i="12"/>
  <c r="E19" i="12"/>
  <c r="E7" i="12"/>
  <c r="E43" i="12"/>
  <c r="E18" i="12"/>
  <c r="F5" i="12"/>
  <c r="F4" i="12"/>
  <c r="G121" i="7"/>
  <c r="G89" i="7"/>
  <c r="G60" i="7"/>
  <c r="G115" i="7"/>
  <c r="G83" i="7"/>
  <c r="G54" i="7"/>
  <c r="G109" i="7"/>
  <c r="G77" i="7"/>
  <c r="G48" i="7"/>
  <c r="G103" i="7"/>
  <c r="G71" i="7"/>
  <c r="G42" i="7"/>
  <c r="G90" i="7"/>
  <c r="G61" i="7"/>
  <c r="G84" i="7"/>
  <c r="G55" i="7"/>
  <c r="G78" i="7"/>
  <c r="G49" i="7"/>
  <c r="G72" i="7"/>
  <c r="G43" i="7"/>
  <c r="G91" i="7"/>
  <c r="G85" i="7"/>
  <c r="G56" i="7"/>
  <c r="G79" i="7"/>
  <c r="G50" i="7"/>
  <c r="G73" i="7"/>
  <c r="G44" i="7"/>
  <c r="G92" i="7"/>
  <c r="G118" i="7"/>
  <c r="G86" i="7"/>
  <c r="G57" i="7"/>
  <c r="G112" i="7"/>
  <c r="G80" i="7"/>
  <c r="G51" i="7"/>
  <c r="G106" i="7"/>
  <c r="G74" i="7"/>
  <c r="G45" i="7"/>
  <c r="G93" i="7"/>
  <c r="G119" i="7"/>
  <c r="G87" i="7"/>
  <c r="G58" i="7"/>
  <c r="G113" i="7"/>
  <c r="G81" i="7"/>
  <c r="G52" i="7"/>
  <c r="G107" i="7"/>
  <c r="G75" i="7"/>
  <c r="G46" i="7"/>
  <c r="G101" i="7"/>
  <c r="G88" i="7"/>
  <c r="G59" i="7"/>
  <c r="G82" i="7"/>
  <c r="G53" i="7"/>
  <c r="G76" i="7"/>
  <c r="G47" i="7"/>
  <c r="G70" i="7"/>
  <c r="G100" i="7"/>
  <c r="G69" i="7"/>
  <c r="G41" i="7"/>
  <c r="G188" i="7"/>
  <c r="G307" i="7"/>
  <c r="G238" i="7"/>
  <c r="G229" i="7"/>
  <c r="G227" i="7"/>
  <c r="G286" i="7"/>
  <c r="G207" i="7"/>
  <c r="G296" i="7"/>
  <c r="G304" i="7"/>
  <c r="G301" i="7"/>
  <c r="G194" i="7"/>
  <c r="G209" i="7"/>
  <c r="G235" i="7"/>
  <c r="G233" i="7"/>
  <c r="G292" i="7"/>
  <c r="G283" i="7"/>
  <c r="G220" i="7"/>
  <c r="G245" i="7"/>
  <c r="G191" i="7"/>
  <c r="G189" i="7"/>
  <c r="G278" i="7"/>
  <c r="G200" i="7"/>
  <c r="G298" i="7"/>
  <c r="G289" i="7"/>
  <c r="G226" i="7"/>
  <c r="G217" i="7"/>
  <c r="G239" i="7"/>
  <c r="G197" i="7"/>
  <c r="G195" i="7"/>
  <c r="G284" i="7"/>
  <c r="G302" i="7"/>
  <c r="G206" i="7"/>
  <c r="G244" i="7"/>
  <c r="G241" i="7"/>
  <c r="G295" i="7"/>
  <c r="G232" i="7"/>
  <c r="G223" i="7"/>
  <c r="G221" i="7"/>
  <c r="G280" i="7"/>
  <c r="G203" i="7"/>
  <c r="G201" i="7"/>
  <c r="G290" i="7"/>
  <c r="G368" i="7"/>
  <c r="G367" i="7"/>
  <c r="G184" i="7"/>
  <c r="G366" i="7"/>
  <c r="G183" i="7"/>
  <c r="G365" i="7"/>
  <c r="G182" i="7"/>
  <c r="G364" i="7"/>
  <c r="G181" i="7"/>
  <c r="G363" i="7"/>
  <c r="G180" i="7"/>
  <c r="G362" i="7"/>
  <c r="G179" i="7"/>
  <c r="G361" i="7"/>
  <c r="G178" i="7"/>
  <c r="G360" i="7"/>
  <c r="G177" i="7"/>
  <c r="G359" i="7"/>
  <c r="G176" i="7"/>
  <c r="G358" i="7"/>
  <c r="G175" i="7"/>
  <c r="G357" i="7"/>
  <c r="G174" i="7"/>
  <c r="G356" i="7"/>
  <c r="G173" i="7"/>
  <c r="G355" i="7"/>
  <c r="G172" i="7"/>
  <c r="G354" i="7"/>
  <c r="G171" i="7"/>
  <c r="G353" i="7"/>
  <c r="G170" i="7"/>
  <c r="G352" i="7"/>
  <c r="G169" i="7"/>
  <c r="G351" i="7"/>
  <c r="G168" i="7"/>
  <c r="G350" i="7"/>
  <c r="G167" i="7"/>
  <c r="G349" i="7"/>
  <c r="G166" i="7"/>
  <c r="G348" i="7"/>
  <c r="G165" i="7"/>
  <c r="G347" i="7"/>
  <c r="G164" i="7"/>
  <c r="G346" i="7"/>
  <c r="G163" i="7"/>
  <c r="G345" i="7"/>
  <c r="G162" i="7"/>
  <c r="G344" i="7"/>
  <c r="G161" i="7"/>
  <c r="G343" i="7"/>
  <c r="G160" i="7"/>
  <c r="G342" i="7"/>
  <c r="G159" i="7"/>
  <c r="G341" i="7"/>
  <c r="G158" i="7"/>
  <c r="G340" i="7"/>
  <c r="G157" i="7"/>
  <c r="G339" i="7"/>
  <c r="G156" i="7"/>
  <c r="G154" i="7"/>
  <c r="G337" i="7"/>
  <c r="G153" i="7"/>
  <c r="G336" i="7"/>
  <c r="G152" i="7"/>
  <c r="G335" i="7"/>
  <c r="G151" i="7"/>
  <c r="G334" i="7"/>
  <c r="G150" i="7"/>
  <c r="G333" i="7"/>
  <c r="G149" i="7"/>
  <c r="G332" i="7"/>
  <c r="G148" i="7"/>
  <c r="G331" i="7"/>
  <c r="G147" i="7"/>
  <c r="G330" i="7"/>
  <c r="G146" i="7"/>
  <c r="G329" i="7"/>
  <c r="G145" i="7"/>
  <c r="G328" i="7"/>
  <c r="G144" i="7"/>
  <c r="G327" i="7"/>
  <c r="G143" i="7"/>
  <c r="G326" i="7"/>
  <c r="G142" i="7"/>
  <c r="G325" i="7"/>
  <c r="G141" i="7"/>
  <c r="G324" i="7"/>
  <c r="G140" i="7"/>
  <c r="G323" i="7"/>
  <c r="G139" i="7"/>
  <c r="G322" i="7"/>
  <c r="G138" i="7"/>
  <c r="G321" i="7"/>
  <c r="G137" i="7"/>
  <c r="G320" i="7"/>
  <c r="G136" i="7"/>
  <c r="G319" i="7"/>
  <c r="G135" i="7"/>
  <c r="G318" i="7"/>
  <c r="G134" i="7"/>
  <c r="G317" i="7"/>
  <c r="G133" i="7"/>
  <c r="G316" i="7"/>
  <c r="G132" i="7"/>
  <c r="G315" i="7"/>
  <c r="G131" i="7"/>
  <c r="G314" i="7"/>
  <c r="G130" i="7"/>
  <c r="G313" i="7"/>
  <c r="G129" i="7"/>
  <c r="G312" i="7"/>
  <c r="G128" i="7"/>
  <c r="G311" i="7"/>
  <c r="G127" i="7"/>
  <c r="G310" i="7"/>
  <c r="G126" i="7"/>
  <c r="G309" i="7"/>
  <c r="G125" i="7"/>
  <c r="G306" i="7"/>
  <c r="G123" i="7"/>
  <c r="G305" i="7"/>
  <c r="G122" i="7"/>
  <c r="G303" i="7"/>
  <c r="G120" i="7"/>
  <c r="G300" i="7"/>
  <c r="G117" i="7"/>
  <c r="G299" i="7"/>
  <c r="G116" i="7"/>
  <c r="G297" i="7"/>
  <c r="G114" i="7"/>
  <c r="G294" i="7"/>
  <c r="G111" i="7"/>
  <c r="G293" i="7"/>
  <c r="G110" i="7"/>
  <c r="G291" i="7"/>
  <c r="G108" i="7"/>
  <c r="G288" i="7"/>
  <c r="G105" i="7"/>
  <c r="G287" i="7"/>
  <c r="G104" i="7"/>
  <c r="G285" i="7"/>
  <c r="G102" i="7"/>
  <c r="G282" i="7"/>
  <c r="G99" i="7"/>
  <c r="G281" i="7"/>
  <c r="G98" i="7"/>
  <c r="G279" i="7"/>
  <c r="G96" i="7"/>
  <c r="G338" i="7"/>
  <c r="G276" i="7"/>
  <c r="G275" i="7"/>
  <c r="G274" i="7"/>
  <c r="G273" i="7"/>
  <c r="G272" i="7"/>
  <c r="G271" i="7"/>
  <c r="G270" i="7"/>
  <c r="G269" i="7"/>
  <c r="G268" i="7"/>
  <c r="G267" i="7"/>
  <c r="G266" i="7"/>
  <c r="G265" i="7"/>
  <c r="G264" i="7"/>
  <c r="G263" i="7"/>
  <c r="G262" i="7"/>
  <c r="G261" i="7"/>
  <c r="G260" i="7"/>
  <c r="G259" i="7"/>
  <c r="G258" i="7"/>
  <c r="G257" i="7"/>
  <c r="G256" i="7"/>
  <c r="G255" i="7"/>
  <c r="G254" i="7"/>
  <c r="G253" i="7"/>
  <c r="G252" i="7"/>
  <c r="G251" i="7"/>
  <c r="G250" i="7"/>
  <c r="G249" i="7"/>
  <c r="G248" i="7"/>
  <c r="G246" i="7"/>
  <c r="G243" i="7"/>
  <c r="G242" i="7"/>
  <c r="G240" i="7"/>
  <c r="G237" i="7"/>
  <c r="G236" i="7"/>
  <c r="G234" i="7"/>
  <c r="G231" i="7"/>
  <c r="G230" i="7"/>
  <c r="G228" i="7"/>
  <c r="G225" i="7"/>
  <c r="G224" i="7"/>
  <c r="G222" i="7"/>
  <c r="G219" i="7"/>
  <c r="G218" i="7"/>
  <c r="G155" i="7"/>
  <c r="G215" i="7"/>
  <c r="G214" i="7"/>
  <c r="G213" i="7"/>
  <c r="G212" i="7"/>
  <c r="G211" i="7"/>
  <c r="G210" i="7"/>
  <c r="G208" i="7"/>
  <c r="G205" i="7"/>
  <c r="G204" i="7"/>
  <c r="G202" i="7"/>
  <c r="G199" i="7"/>
  <c r="G198" i="7"/>
  <c r="G196" i="7"/>
  <c r="G193" i="7"/>
  <c r="G192" i="7"/>
  <c r="G190" i="7"/>
  <c r="G187" i="7"/>
  <c r="G186" i="7"/>
  <c r="G308" i="7"/>
  <c r="G124" i="7"/>
  <c r="G277" i="7"/>
  <c r="G94" i="7"/>
  <c r="G247" i="7"/>
  <c r="G216" i="7"/>
  <c r="G185" i="7"/>
  <c r="G6" i="12" l="1"/>
  <c r="H47" i="12"/>
  <c r="H10" i="12"/>
  <c r="H9" i="12"/>
  <c r="H48" i="12"/>
  <c r="H39" i="12"/>
  <c r="G10" i="12"/>
  <c r="G5" i="12"/>
  <c r="G4" i="12"/>
  <c r="H41" i="12"/>
  <c r="H42" i="12"/>
  <c r="H12" i="12"/>
  <c r="H11" i="12"/>
  <c r="H40" i="12"/>
  <c r="H3" i="12"/>
  <c r="H6" i="12"/>
  <c r="H46" i="12"/>
  <c r="H4" i="12"/>
  <c r="H45" i="12"/>
  <c r="H5" i="12"/>
  <c r="G128" i="12"/>
  <c r="G7" i="12"/>
  <c r="G112" i="12"/>
  <c r="G137" i="12"/>
  <c r="G118" i="12"/>
  <c r="G139" i="12"/>
  <c r="G57" i="12"/>
  <c r="G104" i="12"/>
  <c r="G130" i="12"/>
  <c r="G116" i="12"/>
  <c r="G142" i="12"/>
  <c r="G135" i="12"/>
  <c r="H7" i="12"/>
  <c r="H23" i="12"/>
  <c r="H35" i="12"/>
  <c r="H55" i="12"/>
  <c r="H67" i="12"/>
  <c r="H79" i="12"/>
  <c r="H91" i="12"/>
  <c r="H103" i="12"/>
  <c r="H115" i="12"/>
  <c r="H127" i="12"/>
  <c r="H139" i="12"/>
  <c r="H33" i="12"/>
  <c r="H102" i="12"/>
  <c r="H126" i="12"/>
  <c r="H8" i="12"/>
  <c r="H24" i="12"/>
  <c r="H36" i="12"/>
  <c r="H56" i="12"/>
  <c r="H68" i="12"/>
  <c r="H80" i="12"/>
  <c r="H92" i="12"/>
  <c r="H104" i="12"/>
  <c r="H116" i="12"/>
  <c r="H128" i="12"/>
  <c r="H140" i="12"/>
  <c r="H65" i="12"/>
  <c r="H54" i="12"/>
  <c r="H13" i="12"/>
  <c r="H25" i="12"/>
  <c r="H37" i="12"/>
  <c r="H57" i="12"/>
  <c r="H69" i="12"/>
  <c r="H81" i="12"/>
  <c r="H93" i="12"/>
  <c r="H105" i="12"/>
  <c r="H117" i="12"/>
  <c r="H129" i="12"/>
  <c r="H141" i="12"/>
  <c r="H89" i="12"/>
  <c r="H78" i="12"/>
  <c r="H14" i="12"/>
  <c r="H26" i="12"/>
  <c r="H38" i="12"/>
  <c r="H58" i="12"/>
  <c r="H70" i="12"/>
  <c r="H82" i="12"/>
  <c r="H94" i="12"/>
  <c r="H106" i="12"/>
  <c r="H118" i="12"/>
  <c r="H130" i="12"/>
  <c r="H142" i="12"/>
  <c r="H77" i="12"/>
  <c r="H66" i="12"/>
  <c r="H138" i="12"/>
  <c r="H15" i="12"/>
  <c r="H27" i="12"/>
  <c r="H43" i="12"/>
  <c r="H59" i="12"/>
  <c r="H71" i="12"/>
  <c r="H83" i="12"/>
  <c r="H95" i="12"/>
  <c r="H107" i="12"/>
  <c r="H119" i="12"/>
  <c r="H131" i="12"/>
  <c r="H143" i="12"/>
  <c r="H136" i="12"/>
  <c r="H101" i="12"/>
  <c r="H34" i="12"/>
  <c r="H16" i="12"/>
  <c r="H28" i="12"/>
  <c r="H44" i="12"/>
  <c r="H60" i="12"/>
  <c r="H72" i="12"/>
  <c r="H84" i="12"/>
  <c r="H96" i="12"/>
  <c r="H108" i="12"/>
  <c r="H120" i="12"/>
  <c r="H132" i="12"/>
  <c r="H144" i="12"/>
  <c r="H124" i="12"/>
  <c r="H113" i="12"/>
  <c r="H114" i="12"/>
  <c r="H17" i="12"/>
  <c r="H29" i="12"/>
  <c r="H49" i="12"/>
  <c r="H61" i="12"/>
  <c r="H73" i="12"/>
  <c r="H85" i="12"/>
  <c r="H97" i="12"/>
  <c r="H109" i="12"/>
  <c r="H121" i="12"/>
  <c r="H133" i="12"/>
  <c r="H145" i="12"/>
  <c r="H53" i="12"/>
  <c r="H22" i="12"/>
  <c r="H18" i="12"/>
  <c r="H30" i="12"/>
  <c r="H50" i="12"/>
  <c r="H62" i="12"/>
  <c r="H74" i="12"/>
  <c r="H86" i="12"/>
  <c r="H98" i="12"/>
  <c r="H110" i="12"/>
  <c r="H122" i="12"/>
  <c r="H134" i="12"/>
  <c r="H146" i="12"/>
  <c r="H19" i="12"/>
  <c r="H31" i="12"/>
  <c r="H51" i="12"/>
  <c r="H63" i="12"/>
  <c r="H75" i="12"/>
  <c r="H87" i="12"/>
  <c r="H99" i="12"/>
  <c r="H111" i="12"/>
  <c r="H123" i="12"/>
  <c r="H135" i="12"/>
  <c r="H20" i="12"/>
  <c r="H32" i="12"/>
  <c r="H52" i="12"/>
  <c r="H64" i="12"/>
  <c r="H76" i="12"/>
  <c r="H88" i="12"/>
  <c r="H100" i="12"/>
  <c r="H112" i="12"/>
  <c r="H21" i="12"/>
  <c r="H125" i="12"/>
  <c r="H137" i="12"/>
  <c r="H90" i="12"/>
  <c r="G124" i="12"/>
  <c r="G3" i="12"/>
  <c r="G136" i="12"/>
  <c r="G46" i="12"/>
  <c r="G123" i="12"/>
  <c r="G100" i="12"/>
  <c r="G125" i="12"/>
  <c r="G22" i="12"/>
  <c r="G127" i="12"/>
  <c r="G92" i="12"/>
  <c r="G14" i="12"/>
  <c r="G15" i="12"/>
  <c r="G94" i="12"/>
  <c r="G17" i="12"/>
  <c r="G18" i="12"/>
  <c r="G19" i="12"/>
  <c r="G117" i="12"/>
  <c r="G35" i="12"/>
  <c r="G23" i="12"/>
  <c r="G131" i="12"/>
  <c r="G107" i="12"/>
  <c r="G143" i="12"/>
  <c r="G95" i="12"/>
  <c r="G83" i="12"/>
  <c r="G47" i="12"/>
  <c r="G59" i="12"/>
  <c r="G11" i="12"/>
  <c r="G119" i="12"/>
  <c r="G12" i="12"/>
  <c r="G24" i="12"/>
  <c r="G36" i="12"/>
  <c r="G48" i="12"/>
  <c r="G60" i="12"/>
  <c r="G72" i="12"/>
  <c r="G84" i="12"/>
  <c r="G96" i="12"/>
  <c r="G108" i="12"/>
  <c r="G120" i="12"/>
  <c r="G132" i="12"/>
  <c r="G144" i="12"/>
  <c r="G13" i="12"/>
  <c r="G25" i="12"/>
  <c r="G37" i="12"/>
  <c r="G49" i="12"/>
  <c r="G61" i="12"/>
  <c r="G73" i="12"/>
  <c r="G85" i="12"/>
  <c r="G97" i="12"/>
  <c r="G109" i="12"/>
  <c r="G121" i="12"/>
  <c r="G133" i="12"/>
  <c r="G145" i="12"/>
  <c r="G71" i="12"/>
  <c r="G26" i="12"/>
  <c r="G27" i="12"/>
  <c r="G29" i="12"/>
  <c r="G30" i="12"/>
  <c r="G31" i="12"/>
  <c r="G58" i="12"/>
  <c r="G140" i="12"/>
  <c r="G66" i="12"/>
  <c r="G38" i="12"/>
  <c r="G39" i="12"/>
  <c r="G16" i="12"/>
  <c r="G41" i="12"/>
  <c r="G42" i="12"/>
  <c r="G43" i="12"/>
  <c r="G8" i="12"/>
  <c r="G9" i="12"/>
  <c r="G78" i="12"/>
  <c r="G50" i="12"/>
  <c r="G51" i="12"/>
  <c r="G28" i="12"/>
  <c r="G53" i="12"/>
  <c r="G54" i="12"/>
  <c r="G55" i="12"/>
  <c r="G20" i="12"/>
  <c r="G33" i="12"/>
  <c r="G90" i="12"/>
  <c r="G110" i="12"/>
  <c r="G62" i="12"/>
  <c r="G63" i="12"/>
  <c r="G40" i="12"/>
  <c r="G65" i="12"/>
  <c r="G21" i="12"/>
  <c r="G67" i="12"/>
  <c r="G32" i="12"/>
  <c r="G69" i="12"/>
  <c r="G102" i="12"/>
  <c r="G70" i="12"/>
  <c r="G74" i="12"/>
  <c r="G75" i="12"/>
  <c r="G52" i="12"/>
  <c r="G77" i="12"/>
  <c r="G45" i="12"/>
  <c r="G79" i="12"/>
  <c r="G44" i="12"/>
  <c r="G93" i="12"/>
  <c r="G114" i="12"/>
  <c r="G122" i="12"/>
  <c r="G86" i="12"/>
  <c r="G87" i="12"/>
  <c r="G64" i="12"/>
  <c r="G89" i="12"/>
  <c r="G81" i="12"/>
  <c r="G91" i="12"/>
  <c r="G56" i="12"/>
  <c r="G129" i="12"/>
  <c r="G126" i="12"/>
  <c r="G82" i="12"/>
  <c r="G98" i="12"/>
  <c r="G99" i="12"/>
  <c r="G76" i="12"/>
  <c r="G101" i="12"/>
  <c r="G105" i="12"/>
  <c r="G103" i="12"/>
  <c r="G68" i="12"/>
  <c r="G34" i="12"/>
  <c r="G138" i="12"/>
  <c r="G134" i="12"/>
  <c r="G146" i="12"/>
  <c r="G111" i="12"/>
  <c r="G88" i="12"/>
  <c r="G113" i="12"/>
  <c r="G141" i="12"/>
  <c r="G115" i="12"/>
  <c r="G80" i="12"/>
  <c r="G106" i="12"/>
  <c r="I4" i="7"/>
  <c r="I205" i="7"/>
  <c r="I89" i="7"/>
  <c r="I210" i="7"/>
  <c r="I58" i="7"/>
  <c r="I300" i="7"/>
  <c r="I54" i="7"/>
  <c r="I198" i="7"/>
  <c r="I342" i="7"/>
  <c r="I115" i="7"/>
  <c r="I259" i="7"/>
  <c r="I245" i="7"/>
  <c r="I128" i="7"/>
  <c r="I272" i="7"/>
  <c r="I9" i="7"/>
  <c r="I153" i="7"/>
  <c r="I297" i="7"/>
  <c r="I46" i="7"/>
  <c r="I190" i="7"/>
  <c r="I334" i="7"/>
  <c r="I83" i="7"/>
  <c r="I227" i="7"/>
  <c r="I101" i="7"/>
  <c r="I144" i="7"/>
  <c r="I288" i="7"/>
  <c r="I49" i="7"/>
  <c r="I193" i="7"/>
  <c r="I337" i="7"/>
  <c r="I74" i="7"/>
  <c r="I218" i="7"/>
  <c r="I362" i="7"/>
  <c r="I111" i="7"/>
  <c r="I255" i="7"/>
  <c r="I329" i="7"/>
  <c r="I148" i="7"/>
  <c r="I292" i="7"/>
  <c r="I127" i="7"/>
  <c r="I346" i="7"/>
  <c r="I239" i="7"/>
  <c r="I12" i="7"/>
  <c r="I156" i="7"/>
  <c r="I267" i="7"/>
  <c r="I304" i="7"/>
  <c r="I78" i="7"/>
  <c r="I222" i="7"/>
  <c r="I366" i="7"/>
  <c r="I139" i="7"/>
  <c r="I283" i="7"/>
  <c r="I8" i="7"/>
  <c r="I152" i="7"/>
  <c r="I296" i="7"/>
  <c r="I33" i="7"/>
  <c r="I177" i="7"/>
  <c r="I321" i="7"/>
  <c r="I70" i="7"/>
  <c r="I214" i="7"/>
  <c r="I358" i="7"/>
  <c r="I107" i="7"/>
  <c r="I251" i="7"/>
  <c r="I24" i="7"/>
  <c r="I168" i="7"/>
  <c r="I312" i="7"/>
  <c r="I73" i="7"/>
  <c r="I217" i="7"/>
  <c r="I361" i="7"/>
  <c r="I98" i="7"/>
  <c r="I242" i="7"/>
  <c r="I209" i="7"/>
  <c r="I135" i="7"/>
  <c r="I279" i="7"/>
  <c r="I28" i="7"/>
  <c r="I172" i="7"/>
  <c r="I316" i="7"/>
  <c r="I353" i="7"/>
  <c r="I95" i="7"/>
  <c r="I160" i="7"/>
  <c r="I90" i="7"/>
  <c r="I234" i="7"/>
  <c r="I7" i="7"/>
  <c r="I151" i="7"/>
  <c r="I295" i="7"/>
  <c r="I20" i="7"/>
  <c r="I164" i="7"/>
  <c r="I308" i="7"/>
  <c r="I45" i="7"/>
  <c r="I189" i="7"/>
  <c r="I333" i="7"/>
  <c r="I82" i="7"/>
  <c r="I226" i="7"/>
  <c r="I65" i="7"/>
  <c r="I119" i="7"/>
  <c r="I263" i="7"/>
  <c r="I36" i="7"/>
  <c r="I180" i="7"/>
  <c r="I324" i="7"/>
  <c r="I85" i="7"/>
  <c r="I229" i="7"/>
  <c r="I41" i="7"/>
  <c r="I110" i="7"/>
  <c r="I254" i="7"/>
  <c r="I305" i="7"/>
  <c r="I147" i="7"/>
  <c r="I291" i="7"/>
  <c r="I40" i="7"/>
  <c r="I184" i="7"/>
  <c r="I328" i="7"/>
  <c r="I165" i="7"/>
  <c r="I53" i="7"/>
  <c r="I102" i="7"/>
  <c r="I246" i="7"/>
  <c r="I19" i="7"/>
  <c r="I163" i="7"/>
  <c r="I307" i="7"/>
  <c r="I32" i="7"/>
  <c r="I176" i="7"/>
  <c r="I320" i="7"/>
  <c r="I57" i="7"/>
  <c r="I201" i="7"/>
  <c r="I345" i="7"/>
  <c r="I94" i="7"/>
  <c r="I238" i="7"/>
  <c r="I185" i="7"/>
  <c r="I131" i="7"/>
  <c r="I275" i="7"/>
  <c r="I48" i="7"/>
  <c r="I192" i="7"/>
  <c r="I336" i="7"/>
  <c r="I97" i="7"/>
  <c r="I241" i="7"/>
  <c r="I161" i="7"/>
  <c r="I122" i="7"/>
  <c r="I266" i="7"/>
  <c r="I15" i="7"/>
  <c r="I159" i="7"/>
  <c r="I303" i="7"/>
  <c r="I52" i="7"/>
  <c r="I196" i="7"/>
  <c r="I340" i="7"/>
  <c r="I21" i="7"/>
  <c r="I16" i="7"/>
  <c r="I114" i="7"/>
  <c r="I258" i="7"/>
  <c r="I31" i="7"/>
  <c r="I175" i="7"/>
  <c r="I319" i="7"/>
  <c r="I44" i="7"/>
  <c r="I188" i="7"/>
  <c r="I332" i="7"/>
  <c r="I69" i="7"/>
  <c r="I213" i="7"/>
  <c r="I357" i="7"/>
  <c r="I106" i="7"/>
  <c r="I250" i="7"/>
  <c r="I281" i="7"/>
  <c r="I143" i="7"/>
  <c r="I287" i="7"/>
  <c r="I60" i="7"/>
  <c r="I204" i="7"/>
  <c r="I348" i="7"/>
  <c r="I109" i="7"/>
  <c r="I253" i="7"/>
  <c r="I257" i="7"/>
  <c r="I134" i="7"/>
  <c r="I278" i="7"/>
  <c r="I27" i="7"/>
  <c r="I171" i="7"/>
  <c r="I315" i="7"/>
  <c r="I64" i="7"/>
  <c r="I208" i="7"/>
  <c r="I352" i="7"/>
  <c r="I66" i="7"/>
  <c r="I123" i="7"/>
  <c r="I126" i="7"/>
  <c r="I270" i="7"/>
  <c r="I43" i="7"/>
  <c r="I187" i="7"/>
  <c r="I331" i="7"/>
  <c r="I56" i="7"/>
  <c r="I200" i="7"/>
  <c r="I344" i="7"/>
  <c r="I81" i="7"/>
  <c r="I225" i="7"/>
  <c r="I137" i="7"/>
  <c r="I118" i="7"/>
  <c r="I262" i="7"/>
  <c r="I11" i="7"/>
  <c r="I155" i="7"/>
  <c r="I299" i="7"/>
  <c r="I72" i="7"/>
  <c r="I216" i="7"/>
  <c r="I360" i="7"/>
  <c r="I121" i="7"/>
  <c r="I265" i="7"/>
  <c r="I365" i="7"/>
  <c r="I146" i="7"/>
  <c r="I290" i="7"/>
  <c r="I39" i="7"/>
  <c r="I183" i="7"/>
  <c r="I327" i="7"/>
  <c r="I76" i="7"/>
  <c r="I220" i="7"/>
  <c r="I364" i="7"/>
  <c r="I140" i="7"/>
  <c r="I349" i="7"/>
  <c r="I138" i="7"/>
  <c r="I282" i="7"/>
  <c r="I55" i="7"/>
  <c r="I199" i="7"/>
  <c r="I343" i="7"/>
  <c r="I68" i="7"/>
  <c r="I212" i="7"/>
  <c r="I356" i="7"/>
  <c r="I93" i="7"/>
  <c r="I237" i="7"/>
  <c r="I233" i="7"/>
  <c r="I130" i="7"/>
  <c r="I274" i="7"/>
  <c r="I23" i="7"/>
  <c r="I167" i="7"/>
  <c r="I311" i="7"/>
  <c r="I84" i="7"/>
  <c r="I228" i="7"/>
  <c r="I29" i="7"/>
  <c r="I133" i="7"/>
  <c r="I277" i="7"/>
  <c r="I14" i="7"/>
  <c r="I158" i="7"/>
  <c r="I302" i="7"/>
  <c r="I51" i="7"/>
  <c r="I195" i="7"/>
  <c r="I339" i="7"/>
  <c r="I88" i="7"/>
  <c r="I232" i="7"/>
  <c r="I17" i="7"/>
  <c r="I271" i="7"/>
  <c r="I230" i="7"/>
  <c r="I150" i="7"/>
  <c r="I294" i="7"/>
  <c r="I67" i="7"/>
  <c r="I211" i="7"/>
  <c r="I355" i="7"/>
  <c r="I80" i="7"/>
  <c r="I224" i="7"/>
  <c r="I368" i="7"/>
  <c r="I105" i="7"/>
  <c r="I249" i="7"/>
  <c r="I317" i="7"/>
  <c r="I142" i="7"/>
  <c r="I286" i="7"/>
  <c r="I35" i="7"/>
  <c r="I179" i="7"/>
  <c r="I323" i="7"/>
  <c r="I96" i="7"/>
  <c r="I240" i="7"/>
  <c r="I341" i="7"/>
  <c r="I145" i="7"/>
  <c r="I289" i="7"/>
  <c r="I26" i="7"/>
  <c r="I170" i="7"/>
  <c r="I314" i="7"/>
  <c r="I63" i="7"/>
  <c r="I207" i="7"/>
  <c r="I351" i="7"/>
  <c r="I100" i="7"/>
  <c r="I244" i="7"/>
  <c r="I173" i="7"/>
  <c r="I309" i="7"/>
  <c r="I86" i="7"/>
  <c r="I18" i="7"/>
  <c r="I162" i="7"/>
  <c r="I306" i="7"/>
  <c r="I79" i="7"/>
  <c r="I223" i="7"/>
  <c r="I367" i="7"/>
  <c r="I92" i="7"/>
  <c r="I236" i="7"/>
  <c r="I113" i="7"/>
  <c r="I117" i="7"/>
  <c r="I261" i="7"/>
  <c r="I10" i="7"/>
  <c r="I154" i="7"/>
  <c r="I298" i="7"/>
  <c r="I47" i="7"/>
  <c r="I191" i="7"/>
  <c r="I335" i="7"/>
  <c r="I108" i="7"/>
  <c r="I252" i="7"/>
  <c r="I13" i="7"/>
  <c r="I157" i="7"/>
  <c r="I301" i="7"/>
  <c r="I38" i="7"/>
  <c r="I182" i="7"/>
  <c r="I326" i="7"/>
  <c r="I75" i="7"/>
  <c r="I219" i="7"/>
  <c r="I363" i="7"/>
  <c r="I112" i="7"/>
  <c r="I256" i="7"/>
  <c r="I293" i="7"/>
  <c r="I284" i="7"/>
  <c r="I61" i="7"/>
  <c r="I30" i="7"/>
  <c r="I174" i="7"/>
  <c r="I318" i="7"/>
  <c r="I91" i="7"/>
  <c r="I235" i="7"/>
  <c r="I125" i="7"/>
  <c r="I104" i="7"/>
  <c r="I248" i="7"/>
  <c r="I197" i="7"/>
  <c r="I129" i="7"/>
  <c r="I273" i="7"/>
  <c r="I22" i="7"/>
  <c r="I166" i="7"/>
  <c r="I310" i="7"/>
  <c r="I59" i="7"/>
  <c r="I203" i="7"/>
  <c r="I347" i="7"/>
  <c r="I120" i="7"/>
  <c r="I264" i="7"/>
  <c r="I25" i="7"/>
  <c r="I169" i="7"/>
  <c r="I313" i="7"/>
  <c r="I50" i="7"/>
  <c r="I194" i="7"/>
  <c r="I338" i="7"/>
  <c r="I87" i="7"/>
  <c r="I231" i="7"/>
  <c r="I77" i="7"/>
  <c r="I124" i="7"/>
  <c r="I268" i="7"/>
  <c r="I6" i="7"/>
  <c r="I354" i="7"/>
  <c r="I202" i="7"/>
  <c r="I42" i="7"/>
  <c r="I186" i="7"/>
  <c r="I330" i="7"/>
  <c r="I103" i="7"/>
  <c r="I247" i="7"/>
  <c r="I149" i="7"/>
  <c r="I116" i="7"/>
  <c r="I260" i="7"/>
  <c r="I269" i="7"/>
  <c r="I141" i="7"/>
  <c r="I285" i="7"/>
  <c r="I34" i="7"/>
  <c r="I178" i="7"/>
  <c r="I322" i="7"/>
  <c r="I71" i="7"/>
  <c r="I215" i="7"/>
  <c r="I359" i="7"/>
  <c r="I132" i="7"/>
  <c r="I276" i="7"/>
  <c r="I37" i="7"/>
  <c r="I181" i="7"/>
  <c r="I325" i="7"/>
  <c r="I62" i="7"/>
  <c r="I206" i="7"/>
  <c r="I350" i="7"/>
  <c r="I99" i="7"/>
  <c r="I243" i="7"/>
  <c r="I221" i="7"/>
  <c r="I136" i="7"/>
  <c r="I280" i="7"/>
  <c r="I5" i="7"/>
  <c r="F3" i="2"/>
  <c r="F4" i="2" s="1"/>
  <c r="E3" i="2"/>
  <c r="E4" i="2" s="1"/>
  <c r="G3" i="2"/>
  <c r="G4" i="2" s="1"/>
</calcChain>
</file>

<file path=xl/sharedStrings.xml><?xml version="1.0" encoding="utf-8"?>
<sst xmlns="http://schemas.openxmlformats.org/spreadsheetml/2006/main" count="900" uniqueCount="274">
  <si>
    <t>List Món</t>
  </si>
  <si>
    <t>Tên Món</t>
  </si>
  <si>
    <t>Gram</t>
  </si>
  <si>
    <t>Đạm</t>
  </si>
  <si>
    <t>Bột</t>
  </si>
  <si>
    <t>Mỡ</t>
  </si>
  <si>
    <t>Calo</t>
  </si>
  <si>
    <t>Americano</t>
  </si>
  <si>
    <t>&lt;</t>
  </si>
  <si>
    <t>Bánh bao nhân thịt</t>
  </si>
  <si>
    <t>khi nhập thông số bên này, sẽ tự link đến " Bảng đồ mình ăn"</t>
  </si>
  <si>
    <t>Bánh Chưng</t>
  </si>
  <si>
    <t>Bánh cuốn (không)</t>
  </si>
  <si>
    <t>Bánh mì gối đen</t>
  </si>
  <si>
    <t>Bánh mì gối trắng</t>
  </si>
  <si>
    <t>Bánh Phở Tươi</t>
  </si>
  <si>
    <t>Bò (Loin Strip)</t>
  </si>
  <si>
    <t>Bò (Thịt Tái)</t>
  </si>
  <si>
    <t>Bò (Ức)</t>
  </si>
  <si>
    <t>Bò Băm (80:20)</t>
  </si>
  <si>
    <t>Bò Băm (85:15)</t>
  </si>
  <si>
    <t>Bò Băm (90:10)</t>
  </si>
  <si>
    <t>Bò Băm (93:07)</t>
  </si>
  <si>
    <t>Bò Băm (95:05)</t>
  </si>
  <si>
    <t>Bò Bít Tết (NY Strip)</t>
  </si>
  <si>
    <t>Bò Bít Tết (Rib Eye)</t>
  </si>
  <si>
    <t>Bò Bít Tết (T-Bone)</t>
  </si>
  <si>
    <t>Bò Sống (Nạc)</t>
  </si>
  <si>
    <t>Bò Viên</t>
  </si>
  <si>
    <t>Bông Cải Xanh</t>
  </si>
  <si>
    <t>Bột Cacao</t>
  </si>
  <si>
    <t>Bột Hạnh Nhân</t>
  </si>
  <si>
    <t>Bột Mì</t>
  </si>
  <si>
    <t>Bún</t>
  </si>
  <si>
    <t>Bún chả</t>
  </si>
  <si>
    <t>ước lượng</t>
  </si>
  <si>
    <t>Cà Chua</t>
  </si>
  <si>
    <t>Cá Hồi</t>
  </si>
  <si>
    <t>Cà rốt</t>
  </si>
  <si>
    <t>Cá Viên</t>
  </si>
  <si>
    <t>Cafe Sữa Đá</t>
  </si>
  <si>
    <t>1 ly khoảng 200 - 240g</t>
  </si>
  <si>
    <t>Cải Bắp</t>
  </si>
  <si>
    <t>Cải Chíp</t>
  </si>
  <si>
    <t>Cải Xoăn</t>
  </si>
  <si>
    <t>Cánh Gà Có Da</t>
  </si>
  <si>
    <t>Chả quế lợn</t>
  </si>
  <si>
    <t>Cơm gạo lứt</t>
  </si>
  <si>
    <t>Cơm trắng</t>
  </si>
  <si>
    <t xml:space="preserve">Củ Cải </t>
  </si>
  <si>
    <t>Dấm</t>
  </si>
  <si>
    <t>Dầu Hào</t>
  </si>
  <si>
    <t>Dầu Ô-Liu</t>
  </si>
  <si>
    <t>Dâu tây</t>
  </si>
  <si>
    <t>Dưa Chuột</t>
  </si>
  <si>
    <t>Dưa Lưới</t>
  </si>
  <si>
    <t xml:space="preserve">Đùi Gà Có Da </t>
  </si>
  <si>
    <t xml:space="preserve">Đùi Gà Không Da </t>
  </si>
  <si>
    <t xml:space="preserve">Đường   </t>
  </si>
  <si>
    <t>Gạo nếp</t>
  </si>
  <si>
    <t>Gạo tẻ</t>
  </si>
  <si>
    <t>Gíá đỗ</t>
  </si>
  <si>
    <t>5,5</t>
  </si>
  <si>
    <t>5,3</t>
  </si>
  <si>
    <t>Giò lụa</t>
  </si>
  <si>
    <t>Gừng Băm</t>
  </si>
  <si>
    <t>Hạnh nhân</t>
  </si>
  <si>
    <t>Hành phi</t>
  </si>
  <si>
    <t>Hạt Điều</t>
  </si>
  <si>
    <t>Khoai lang (chín)</t>
  </si>
  <si>
    <t>Khoai lang (sống)</t>
  </si>
  <si>
    <t>Khoai tây (chín)</t>
  </si>
  <si>
    <t>Khoai tây (sống)</t>
  </si>
  <si>
    <t>Măng tây</t>
  </si>
  <si>
    <t>Nấm Trắng</t>
  </si>
  <si>
    <t>Nem chua rán</t>
  </si>
  <si>
    <t>Nước Hầm Xương</t>
  </si>
  <si>
    <t>Nước Xương</t>
  </si>
  <si>
    <t>omega 3</t>
  </si>
  <si>
    <t>1 viên</t>
  </si>
  <si>
    <t>Ớt chuông</t>
  </si>
  <si>
    <t>Parmesan Cheese</t>
  </si>
  <si>
    <t>Phở bò</t>
  </si>
  <si>
    <t>Phở gà</t>
  </si>
  <si>
    <t xml:space="preserve">Phô Mai Gouda </t>
  </si>
  <si>
    <t xml:space="preserve">Phô Mai Manchego </t>
  </si>
  <si>
    <t>Pork Loin Chops (Pork Loin Chops)</t>
  </si>
  <si>
    <t>Quả bí</t>
  </si>
  <si>
    <t>Quả bơ</t>
  </si>
  <si>
    <t>Rau Muống</t>
  </si>
  <si>
    <t>Rau Dền</t>
  </si>
  <si>
    <t xml:space="preserve">Sách </t>
  </si>
  <si>
    <t>Sữa chua Vinamilk có đường</t>
  </si>
  <si>
    <t>Sữa chua Vinamilk không đường</t>
  </si>
  <si>
    <t>Sữa gầy (skim milk) tách béo</t>
  </si>
  <si>
    <t>Sữa nguyên kem (full fat / whole fat)</t>
  </si>
  <si>
    <t>Sữa tươi (Dalat Milk) không đường</t>
  </si>
  <si>
    <t>Sữa tươi có đường</t>
  </si>
  <si>
    <t>Sườn Bò Non</t>
  </si>
  <si>
    <t>Thăn Bò</t>
  </si>
  <si>
    <t xml:space="preserve">Thăn Heo </t>
  </si>
  <si>
    <t>Thịt Cua</t>
  </si>
  <si>
    <t>Thịt Heo (Mông)</t>
  </si>
  <si>
    <t>Thịt lợn nướng</t>
  </si>
  <si>
    <t>Tỏi</t>
  </si>
  <si>
    <t>Tôm</t>
  </si>
  <si>
    <t>Tôm Viên</t>
  </si>
  <si>
    <t>Trứng</t>
  </si>
  <si>
    <t xml:space="preserve">Trứng Lòng Trắng </t>
  </si>
  <si>
    <t>Ức Gà</t>
  </si>
  <si>
    <t>Việt Quất</t>
  </si>
  <si>
    <t>1 muỗng</t>
  </si>
  <si>
    <t>Xôi trắng</t>
  </si>
  <si>
    <t>Mayonnaise (Kewpie)</t>
  </si>
  <si>
    <t>Yến mạch</t>
  </si>
  <si>
    <t>Đậu phụ</t>
  </si>
  <si>
    <t>Portion Size</t>
  </si>
  <si>
    <t>Lượng nạp hôm nay</t>
  </si>
  <si>
    <t>&gt;</t>
  </si>
  <si>
    <t xml:space="preserve">&lt;- </t>
  </si>
  <si>
    <t>Không điền vào đây</t>
  </si>
  <si>
    <t>Macro Calo</t>
  </si>
  <si>
    <t>% Marco</t>
  </si>
  <si>
    <t>Tự lựa chọn % các chất theo gợi ý</t>
  </si>
  <si>
    <t>TDEE</t>
  </si>
  <si>
    <t>Tự điền theo APP TDEE của mình</t>
  </si>
  <si>
    <t>Chú thích cho bảng bên dưới</t>
  </si>
  <si>
    <t>Ô Vàng: Nhập vào số gram</t>
  </si>
  <si>
    <t>BMR</t>
  </si>
  <si>
    <t>Không bao giờ được ăn dưới mức này.</t>
  </si>
  <si>
    <t>Ô Xanh: Nhập tên món ăn</t>
  </si>
  <si>
    <t xml:space="preserve">Ô Trắng: Không nhập gì hết </t>
  </si>
  <si>
    <t xml:space="preserve"> </t>
  </si>
  <si>
    <t>Chuối</t>
  </si>
  <si>
    <t>Tháng 1</t>
  </si>
  <si>
    <t>Tháng 2</t>
  </si>
  <si>
    <t>Tháng 3</t>
  </si>
  <si>
    <t>Tháng 4</t>
  </si>
  <si>
    <t>Tháng 5</t>
  </si>
  <si>
    <t>Tháng 6</t>
  </si>
  <si>
    <t>Tháng 7</t>
  </si>
  <si>
    <t>Tháng 8</t>
  </si>
  <si>
    <t>Tháng 9</t>
  </si>
  <si>
    <t>Tháng 10</t>
  </si>
  <si>
    <t>Tháng 11</t>
  </si>
  <si>
    <t>Tháng 12</t>
  </si>
  <si>
    <t>Cân Nặng</t>
  </si>
  <si>
    <t>Ngày</t>
  </si>
  <si>
    <t>Tháng</t>
  </si>
  <si>
    <t>Date</t>
  </si>
  <si>
    <t>Calo Intake</t>
  </si>
  <si>
    <t>Row Labels</t>
  </si>
  <si>
    <t>Đơn vị cân nặng: KG</t>
  </si>
  <si>
    <t>Buổi</t>
  </si>
  <si>
    <t>Tên bài tập</t>
  </si>
  <si>
    <t>Rep</t>
  </si>
  <si>
    <t>Mức tạ</t>
  </si>
  <si>
    <t>Total Volume</t>
  </si>
  <si>
    <t>Tuần 1</t>
  </si>
  <si>
    <t>Tuần 2</t>
  </si>
  <si>
    <t>Tuần 3</t>
  </si>
  <si>
    <t>Tuần 4</t>
  </si>
  <si>
    <t>Hanging Leg Raise</t>
  </si>
  <si>
    <t>Workout 1</t>
  </si>
  <si>
    <t>Workout 2</t>
  </si>
  <si>
    <t>Workout 3</t>
  </si>
  <si>
    <t>Workout 4</t>
  </si>
  <si>
    <t>Workout 5</t>
  </si>
  <si>
    <t>Workout 6</t>
  </si>
  <si>
    <r>
      <t xml:space="preserve">Ae nhớ ghi tên </t>
    </r>
    <r>
      <rPr>
        <b/>
        <u/>
        <sz val="12"/>
        <color theme="1"/>
        <rFont val="Times New Roman"/>
        <family val="1"/>
      </rPr>
      <t>Y HỆT</t>
    </r>
    <r>
      <rPr>
        <b/>
        <sz val="12"/>
        <color theme="1"/>
        <rFont val="Times New Roman"/>
        <family val="1"/>
      </rPr>
      <t xml:space="preserve"> bảng thông tin đồ ăn thì mới hiện ra số</t>
    </r>
  </si>
  <si>
    <t>DB OHP</t>
  </si>
  <si>
    <t>Buổi tập</t>
  </si>
  <si>
    <t>Exercise</t>
  </si>
  <si>
    <t>Week</t>
  </si>
  <si>
    <t>Week 1</t>
  </si>
  <si>
    <t>Volume</t>
  </si>
  <si>
    <t>Tên Bài Tập</t>
  </si>
  <si>
    <t xml:space="preserve">Nhóm cơ </t>
  </si>
  <si>
    <t>Chest</t>
  </si>
  <si>
    <t>Shoulder</t>
  </si>
  <si>
    <t>Triceps</t>
  </si>
  <si>
    <t>Pull Up</t>
  </si>
  <si>
    <t>Cable Row</t>
  </si>
  <si>
    <t>Hammer Curl</t>
  </si>
  <si>
    <t>Back</t>
  </si>
  <si>
    <t>Biceps</t>
  </si>
  <si>
    <t>Core</t>
  </si>
  <si>
    <t>Set</t>
  </si>
  <si>
    <t>Lying Leg Curl</t>
  </si>
  <si>
    <t>Leg Press</t>
  </si>
  <si>
    <t>Romanian Deadlift</t>
  </si>
  <si>
    <t>Calves</t>
  </si>
  <si>
    <t>Week 3</t>
  </si>
  <si>
    <t>Week 2</t>
  </si>
  <si>
    <t>Week 4</t>
  </si>
  <si>
    <t xml:space="preserve">Total Sets </t>
  </si>
  <si>
    <t>Volume Percentage</t>
  </si>
  <si>
    <t>Total volume</t>
  </si>
  <si>
    <t>Trap</t>
  </si>
  <si>
    <t>Upper Chest</t>
  </si>
  <si>
    <t>Middle Chest</t>
  </si>
  <si>
    <t>Lower Chest</t>
  </si>
  <si>
    <t>Front Delt</t>
  </si>
  <si>
    <t>Mid Delt</t>
  </si>
  <si>
    <t>Rear Delt</t>
  </si>
  <si>
    <t>Lats</t>
  </si>
  <si>
    <t>Quads</t>
  </si>
  <si>
    <t>Hamstring</t>
  </si>
  <si>
    <t>Glutes</t>
  </si>
  <si>
    <t>Leg</t>
  </si>
  <si>
    <t>Abs</t>
  </si>
  <si>
    <t>Obliques</t>
  </si>
  <si>
    <t>DB Incline Press</t>
  </si>
  <si>
    <t>BB Incline Press</t>
  </si>
  <si>
    <t>Cable Fly UPC</t>
  </si>
  <si>
    <t>DB Fly UPC</t>
  </si>
  <si>
    <t>Push Up UPC</t>
  </si>
  <si>
    <t xml:space="preserve">Cable Fly </t>
  </si>
  <si>
    <t>DB Fly</t>
  </si>
  <si>
    <t>Push Up</t>
  </si>
  <si>
    <t>Decline DB Press</t>
  </si>
  <si>
    <t>Decline BB Press</t>
  </si>
  <si>
    <t>Cable Flye LWC</t>
  </si>
  <si>
    <t>Cable Front Raise</t>
  </si>
  <si>
    <t>DB Front Raise</t>
  </si>
  <si>
    <t>BB Front Raise</t>
  </si>
  <si>
    <t>DB Lateral Raise</t>
  </si>
  <si>
    <t>Cable Lateral Raise</t>
  </si>
  <si>
    <t>Face Pull</t>
  </si>
  <si>
    <t>Reverse Cable Fly</t>
  </si>
  <si>
    <t>Rear Delt Raise</t>
  </si>
  <si>
    <t>Cable Push Down</t>
  </si>
  <si>
    <t>DB Skull Crushsher</t>
  </si>
  <si>
    <t>BB Skull Crushsher</t>
  </si>
  <si>
    <t>Lat Pull Down</t>
  </si>
  <si>
    <t>BB Row</t>
  </si>
  <si>
    <t>DB Row</t>
  </si>
  <si>
    <t>Cable Upright Row</t>
  </si>
  <si>
    <t>DB Shrug</t>
  </si>
  <si>
    <t>BB Shrug</t>
  </si>
  <si>
    <t>BB Curl</t>
  </si>
  <si>
    <t>DB Curl</t>
  </si>
  <si>
    <t>EZ Bar Curl</t>
  </si>
  <si>
    <t>Chin up</t>
  </si>
  <si>
    <t>Leg Extension</t>
  </si>
  <si>
    <t>Conventional Deadlift</t>
  </si>
  <si>
    <t>Hip Thrust</t>
  </si>
  <si>
    <t>Crunch</t>
  </si>
  <si>
    <t>Bulgarian Squat</t>
  </si>
  <si>
    <t>Lunges</t>
  </si>
  <si>
    <t>Plank</t>
  </si>
  <si>
    <t>Side Plank</t>
  </si>
  <si>
    <t>Calf Raise</t>
  </si>
  <si>
    <t>Russian Twist</t>
  </si>
  <si>
    <t>Detail</t>
  </si>
  <si>
    <t>BB OHP</t>
  </si>
  <si>
    <t xml:space="preserve">Reverse Cable Fly </t>
  </si>
  <si>
    <t>AE nhớ còn cái dấu +/- ở cuối bảng nhé</t>
  </si>
  <si>
    <t>Sum of Volume</t>
  </si>
  <si>
    <t>Whey</t>
  </si>
  <si>
    <t>AE nào chăm có thể update thông tin món ăn trong bảng này</t>
  </si>
  <si>
    <t>DB Bench Press</t>
  </si>
  <si>
    <t>BB Bench Press</t>
  </si>
  <si>
    <t>Nhóm cơ Sript</t>
  </si>
  <si>
    <t>Detail Script</t>
  </si>
  <si>
    <t>Nhóm cơ</t>
  </si>
  <si>
    <t>Nhóm cơ cụ thể</t>
  </si>
  <si>
    <t>Click REFRESH DATA để UPDATE biểu đồ nhé</t>
  </si>
  <si>
    <t>Calo Intake Trung Bình</t>
  </si>
  <si>
    <t>Cân Nặng</t>
  </si>
  <si>
    <t>Cân Nặng Trung Bình</t>
  </si>
  <si>
    <t>AE UPDATE VÀ ĐIỀN VÀO BẢNG LỊCH TẬP CHUẨN THEO BÊN NÀY NHÉ</t>
  </si>
  <si>
    <t>Shoulder Press Machine</t>
  </si>
  <si>
    <t>Squats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</si>
</sst>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
    <numFmt numFmtId="166" formatCode="[$-1010000]dd/mm;@"/>
  </numFmts>
  <fonts count="16" x14ac:knownFonts="1">
    <font>
      <sz val="10"/>
      <color rgb="FF000000"/>
      <name val="Arial"/>
      <scheme val="minor"/>
    </font>
    <font>
      <sz val="10"/>
      <color theme="1"/>
      <name val="Arial"/>
      <family val="2"/>
    </font>
    <font>
      <sz val="10"/>
      <color rgb="FF000000"/>
      <name val="Arial"/>
      <family val="2"/>
      <scheme val="minor"/>
    </font>
    <font>
      <sz val="8"/>
      <name val="Arial"/>
      <family val="2"/>
      <scheme val="minor"/>
    </font>
    <font>
      <sz val="12"/>
      <color rgb="FF000000"/>
      <name val="Arial"/>
      <family val="2"/>
      <scheme val="minor"/>
    </font>
    <font>
      <sz val="8"/>
      <name val="Arial"/>
      <family val="2"/>
      <scheme val="minor"/>
    </font>
    <font>
      <sz val="10"/>
      <color rgb="FF000000"/>
      <name val="Times New Roman"/>
      <family val="1"/>
    </font>
    <font>
      <sz val="12"/>
      <color rgb="FF000000"/>
      <name val="Times New Roman"/>
      <family val="1"/>
    </font>
    <font>
      <sz val="14"/>
      <color rgb="FF000000"/>
      <name val="Times New Roman"/>
      <family val="1"/>
    </font>
    <font>
      <b/>
      <sz val="12"/>
      <color theme="1"/>
      <name val="Times New Roman"/>
      <family val="1"/>
    </font>
    <font>
      <sz val="12"/>
      <name val="Times New Roman"/>
      <family val="1"/>
    </font>
    <font>
      <sz val="12"/>
      <color theme="1"/>
      <name val="Times New Roman"/>
      <family val="1"/>
    </font>
    <font>
      <b/>
      <sz val="12"/>
      <color rgb="FF000000"/>
      <name val="Times New Roman"/>
      <family val="1"/>
    </font>
    <font>
      <i/>
      <sz val="12"/>
      <color theme="1"/>
      <name val="Times New Roman"/>
      <family val="1"/>
    </font>
    <font>
      <b/>
      <u/>
      <sz val="12"/>
      <color theme="1"/>
      <name val="Times New Roman"/>
      <family val="1"/>
    </font>
    <font>
      <sz val="12"/>
      <color rgb="FF000000"/>
      <name val="Tahoma"/>
      <family val="2"/>
    </font>
  </fonts>
  <fills count="22">
    <fill>
      <patternFill patternType="none"/>
    </fill>
    <fill>
      <patternFill patternType="gray125"/>
    </fill>
    <fill>
      <patternFill patternType="solid">
        <fgColor rgb="FFFFFFFF"/>
        <bgColor rgb="FFFFFFFF"/>
      </patternFill>
    </fill>
    <fill>
      <patternFill patternType="solid">
        <fgColor rgb="FFCFE2F3"/>
        <bgColor rgb="FFCFE2F3"/>
      </patternFill>
    </fill>
    <fill>
      <patternFill patternType="solid">
        <fgColor rgb="FFFFF2CC"/>
        <bgColor rgb="FFFFF2CC"/>
      </patternFill>
    </fill>
    <fill>
      <patternFill patternType="solid">
        <fgColor rgb="FFEF6F9B"/>
        <bgColor rgb="FFEF6F9B"/>
      </patternFill>
    </fill>
    <fill>
      <patternFill patternType="solid">
        <fgColor rgb="FFFECA00"/>
        <bgColor rgb="FFFECA00"/>
      </patternFill>
    </fill>
    <fill>
      <patternFill patternType="solid">
        <fgColor rgb="FFFFF6CA"/>
        <bgColor rgb="FFFFF6CA"/>
      </patternFill>
    </fill>
    <fill>
      <patternFill patternType="solid">
        <fgColor rgb="FFE2EFD9"/>
        <bgColor rgb="FFE2EFD9"/>
      </patternFill>
    </fill>
    <fill>
      <patternFill patternType="solid">
        <fgColor rgb="FFFBE4D5"/>
        <bgColor rgb="FFFBE4D5"/>
      </patternFill>
    </fill>
    <fill>
      <patternFill patternType="solid">
        <fgColor rgb="FFFFFF00"/>
        <bgColor rgb="FFFFFF00"/>
      </patternFill>
    </fill>
    <fill>
      <patternFill patternType="solid">
        <fgColor rgb="FFADB9CA"/>
        <bgColor rgb="FFADB9CA"/>
      </patternFill>
    </fill>
    <fill>
      <patternFill patternType="solid">
        <fgColor rgb="FFBDD6EE"/>
        <bgColor rgb="FFBDD6EE"/>
      </patternFill>
    </fill>
    <fill>
      <patternFill patternType="solid">
        <fgColor rgb="FFF7CAAC"/>
        <bgColor rgb="FFF7CAAC"/>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6BE98"/>
        <bgColor rgb="FFFFFFFF"/>
      </patternFill>
    </fill>
    <fill>
      <patternFill patternType="solid">
        <fgColor rgb="FFF2A372"/>
        <bgColor rgb="FFFFFFFF"/>
      </patternFill>
    </fill>
    <fill>
      <patternFill patternType="solid">
        <fgColor rgb="FFF2A372"/>
        <bgColor indexed="64"/>
      </patternFill>
    </fill>
    <fill>
      <patternFill patternType="solid">
        <fgColor theme="9" tint="0.59999389629810485"/>
        <bgColor rgb="FFCFE2F3"/>
      </patternFill>
    </fill>
    <fill>
      <patternFill patternType="solid">
        <fgColor theme="9" tint="0.79998168889431442"/>
        <bgColor rgb="FFFFF2CC"/>
      </patternFill>
    </fill>
  </fills>
  <borders count="116">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right style="medium">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double">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double">
        <color indexed="64"/>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right style="medium">
        <color indexed="64"/>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thin">
        <color rgb="FF000000"/>
      </left>
      <right style="medium">
        <color indexed="64"/>
      </right>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style="medium">
        <color rgb="FF000000"/>
      </top>
      <bottom/>
      <diagonal/>
    </border>
    <border>
      <left style="thin">
        <color rgb="FF000000"/>
      </left>
      <right/>
      <top/>
      <bottom style="thin">
        <color rgb="FF000000"/>
      </bottom>
      <diagonal/>
    </border>
    <border>
      <left/>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rgb="FF000000"/>
      </left>
      <right style="medium">
        <color indexed="64"/>
      </right>
      <top style="medium">
        <color rgb="FF000000"/>
      </top>
      <bottom style="medium">
        <color indexed="64"/>
      </bottom>
      <diagonal/>
    </border>
    <border>
      <left/>
      <right style="thin">
        <color rgb="FF000000"/>
      </right>
      <top style="medium">
        <color indexed="64"/>
      </top>
      <bottom style="thin">
        <color rgb="FF000000"/>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diagonal/>
    </border>
    <border>
      <left/>
      <right style="medium">
        <color indexed="64"/>
      </right>
      <top style="medium">
        <color rgb="FF000000"/>
      </top>
      <bottom style="medium">
        <color indexed="64"/>
      </bottom>
      <diagonal/>
    </border>
    <border>
      <left/>
      <right style="medium">
        <color rgb="FF000000"/>
      </right>
      <top/>
      <bottom style="thin">
        <color rgb="FF000000"/>
      </bottom>
      <diagonal/>
    </border>
    <border>
      <left style="medium">
        <color rgb="FF000000"/>
      </left>
      <right/>
      <top/>
      <bottom/>
      <diagonal/>
    </border>
    <border>
      <left style="medium">
        <color rgb="FF000000"/>
      </left>
      <right/>
      <top/>
      <bottom style="medium">
        <color rgb="FF000000"/>
      </bottom>
      <diagonal/>
    </border>
    <border>
      <left/>
      <right style="medium">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bottom style="medium">
        <color indexed="64"/>
      </bottom>
      <diagonal/>
    </border>
    <border>
      <left/>
      <right style="thin">
        <color rgb="FF000000"/>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style="double">
        <color indexed="64"/>
      </top>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s>
  <cellStyleXfs count="1">
    <xf numFmtId="0" fontId="0" fillId="0" borderId="0"/>
  </cellStyleXfs>
  <cellXfs count="269">
    <xf numFmtId="0" fontId="0" fillId="0" borderId="0" xfId="0"/>
    <xf numFmtId="0" fontId="1" fillId="2" borderId="2" xfId="0" applyFont="1" applyFill="1" applyBorder="1"/>
    <xf numFmtId="0" fontId="2" fillId="0" borderId="0" xfId="0" applyFont="1"/>
    <xf numFmtId="0" fontId="4" fillId="0" borderId="14" xfId="0" applyFont="1" applyBorder="1"/>
    <xf numFmtId="0" fontId="4" fillId="0" borderId="8" xfId="0" applyFont="1" applyBorder="1"/>
    <xf numFmtId="0" fontId="4" fillId="0" borderId="2" xfId="0" applyFont="1" applyBorder="1"/>
    <xf numFmtId="166" fontId="0" fillId="0" borderId="0" xfId="0" applyNumberFormat="1"/>
    <xf numFmtId="166" fontId="4" fillId="0" borderId="2" xfId="0" applyNumberFormat="1" applyFont="1" applyBorder="1"/>
    <xf numFmtId="164" fontId="0" fillId="0" borderId="0" xfId="0" applyNumberFormat="1"/>
    <xf numFmtId="0" fontId="4" fillId="14" borderId="2" xfId="0" applyFont="1" applyFill="1" applyBorder="1"/>
    <xf numFmtId="166" fontId="4" fillId="14" borderId="2" xfId="0" applyNumberFormat="1" applyFont="1" applyFill="1" applyBorder="1"/>
    <xf numFmtId="0" fontId="4" fillId="14" borderId="8" xfId="0" applyFont="1" applyFill="1" applyBorder="1"/>
    <xf numFmtId="0" fontId="4" fillId="0" borderId="26" xfId="0" applyFont="1" applyBorder="1"/>
    <xf numFmtId="0" fontId="4" fillId="0" borderId="21" xfId="0" applyFont="1" applyBorder="1"/>
    <xf numFmtId="166" fontId="4" fillId="0" borderId="21" xfId="0" applyNumberFormat="1" applyFont="1" applyBorder="1"/>
    <xf numFmtId="0" fontId="4" fillId="0" borderId="20" xfId="0" applyFont="1" applyBorder="1"/>
    <xf numFmtId="0" fontId="4" fillId="0" borderId="27" xfId="0" applyFont="1" applyBorder="1"/>
    <xf numFmtId="0" fontId="4" fillId="0" borderId="24" xfId="0" applyFont="1" applyBorder="1"/>
    <xf numFmtId="166" fontId="4" fillId="0" borderId="24" xfId="0" applyNumberFormat="1" applyFont="1" applyBorder="1"/>
    <xf numFmtId="0" fontId="4" fillId="0" borderId="23" xfId="0" applyFont="1" applyBorder="1"/>
    <xf numFmtId="164" fontId="4" fillId="14" borderId="14" xfId="0" applyNumberFormat="1" applyFont="1" applyFill="1" applyBorder="1"/>
    <xf numFmtId="164" fontId="4" fillId="0" borderId="21" xfId="0" applyNumberFormat="1" applyFont="1" applyBorder="1"/>
    <xf numFmtId="164" fontId="4" fillId="0" borderId="2" xfId="0" applyNumberFormat="1" applyFont="1" applyBorder="1"/>
    <xf numFmtId="164" fontId="4" fillId="0" borderId="22" xfId="0" applyNumberFormat="1" applyFont="1" applyBorder="1"/>
    <xf numFmtId="164" fontId="4" fillId="0" borderId="9" xfId="0" applyNumberFormat="1" applyFont="1" applyBorder="1"/>
    <xf numFmtId="0" fontId="0" fillId="0" borderId="0" xfId="0" pivotButton="1"/>
    <xf numFmtId="166" fontId="4" fillId="0" borderId="9" xfId="0" applyNumberFormat="1" applyFont="1" applyBorder="1"/>
    <xf numFmtId="0" fontId="6" fillId="0" borderId="0" xfId="0" applyFont="1"/>
    <xf numFmtId="0" fontId="7" fillId="0" borderId="14" xfId="0" applyFont="1" applyBorder="1"/>
    <xf numFmtId="0" fontId="7" fillId="0" borderId="9" xfId="0" applyFont="1" applyBorder="1"/>
    <xf numFmtId="0" fontId="7" fillId="0" borderId="19" xfId="0" applyFont="1" applyBorder="1"/>
    <xf numFmtId="0" fontId="7" fillId="0" borderId="0" xfId="0" applyFont="1"/>
    <xf numFmtId="0" fontId="11" fillId="0" borderId="0" xfId="0" applyFont="1"/>
    <xf numFmtId="0" fontId="11" fillId="2" borderId="2" xfId="0" applyFont="1" applyFill="1" applyBorder="1"/>
    <xf numFmtId="0" fontId="9" fillId="0" borderId="0" xfId="0" applyFont="1"/>
    <xf numFmtId="0" fontId="11" fillId="0" borderId="0" xfId="0" applyFont="1" applyAlignment="1">
      <alignment horizontal="right"/>
    </xf>
    <xf numFmtId="1" fontId="11" fillId="0" borderId="0" xfId="0" applyNumberFormat="1" applyFont="1" applyAlignment="1">
      <alignment horizontal="right"/>
    </xf>
    <xf numFmtId="0" fontId="11" fillId="8" borderId="1" xfId="0" applyFont="1" applyFill="1" applyBorder="1" applyAlignment="1">
      <alignment horizontal="center"/>
    </xf>
    <xf numFmtId="1" fontId="11" fillId="5" borderId="1" xfId="0" applyNumberFormat="1" applyFont="1" applyFill="1" applyBorder="1"/>
    <xf numFmtId="1" fontId="11" fillId="6" borderId="1" xfId="0" applyNumberFormat="1" applyFont="1" applyFill="1" applyBorder="1"/>
    <xf numFmtId="0" fontId="9" fillId="0" borderId="0" xfId="0" applyFont="1" applyAlignment="1">
      <alignment horizontal="left"/>
    </xf>
    <xf numFmtId="0" fontId="12" fillId="0" borderId="0" xfId="0" applyFont="1"/>
    <xf numFmtId="0" fontId="11" fillId="9" borderId="1" xfId="0" applyFont="1" applyFill="1" applyBorder="1" applyAlignment="1">
      <alignment horizontal="center"/>
    </xf>
    <xf numFmtId="1" fontId="11" fillId="5" borderId="1" xfId="0" applyNumberFormat="1" applyFont="1" applyFill="1" applyBorder="1" applyAlignment="1">
      <alignment horizontal="right"/>
    </xf>
    <xf numFmtId="1" fontId="11" fillId="6" borderId="1" xfId="0" applyNumberFormat="1" applyFont="1" applyFill="1" applyBorder="1" applyAlignment="1">
      <alignment horizontal="right"/>
    </xf>
    <xf numFmtId="0" fontId="11" fillId="0" borderId="7" xfId="0" applyFont="1" applyBorder="1" applyAlignment="1">
      <alignment horizontal="center" vertical="center"/>
    </xf>
    <xf numFmtId="0" fontId="11" fillId="0" borderId="0" xfId="0" applyFont="1" applyAlignment="1">
      <alignment horizontal="center"/>
    </xf>
    <xf numFmtId="0" fontId="9" fillId="0" borderId="0" xfId="0" applyFont="1" applyAlignment="1">
      <alignment horizontal="right"/>
    </xf>
    <xf numFmtId="0" fontId="11" fillId="0" borderId="1" xfId="0" applyFont="1" applyBorder="1"/>
    <xf numFmtId="0" fontId="11" fillId="4" borderId="1" xfId="0" applyFont="1" applyFill="1" applyBorder="1" applyAlignment="1">
      <alignment horizontal="right"/>
    </xf>
    <xf numFmtId="1" fontId="11" fillId="0" borderId="1" xfId="0" applyNumberFormat="1" applyFont="1" applyBorder="1" applyAlignment="1">
      <alignment horizontal="right"/>
    </xf>
    <xf numFmtId="0" fontId="11" fillId="0" borderId="3" xfId="0" applyFont="1" applyBorder="1"/>
    <xf numFmtId="0" fontId="11" fillId="0" borderId="1" xfId="0" applyFont="1" applyBorder="1" applyAlignment="1">
      <alignment horizontal="center"/>
    </xf>
    <xf numFmtId="0" fontId="11" fillId="0" borderId="6" xfId="0" applyFont="1" applyBorder="1"/>
    <xf numFmtId="1" fontId="9" fillId="0" borderId="0" xfId="0" applyNumberFormat="1" applyFont="1"/>
    <xf numFmtId="164" fontId="11" fillId="0" borderId="0" xfId="0" applyNumberFormat="1" applyFont="1" applyAlignment="1">
      <alignment horizontal="right"/>
    </xf>
    <xf numFmtId="0" fontId="9" fillId="2" borderId="2" xfId="0" applyFont="1" applyFill="1" applyBorder="1" applyAlignment="1">
      <alignment horizontal="right"/>
    </xf>
    <xf numFmtId="165" fontId="11" fillId="2" borderId="2" xfId="0" applyNumberFormat="1" applyFont="1" applyFill="1" applyBorder="1"/>
    <xf numFmtId="1" fontId="9" fillId="2" borderId="2" xfId="0" applyNumberFormat="1" applyFont="1" applyFill="1" applyBorder="1" applyAlignment="1">
      <alignment horizontal="right"/>
    </xf>
    <xf numFmtId="0" fontId="0" fillId="0" borderId="0" xfId="0" applyAlignment="1">
      <alignment horizontal="left"/>
    </xf>
    <xf numFmtId="1" fontId="0" fillId="0" borderId="0" xfId="0" applyNumberFormat="1"/>
    <xf numFmtId="0" fontId="0" fillId="15" borderId="0" xfId="0" applyFill="1"/>
    <xf numFmtId="0" fontId="7" fillId="15" borderId="0" xfId="0" applyFont="1" applyFill="1"/>
    <xf numFmtId="0" fontId="15" fillId="15" borderId="0" xfId="0" applyFont="1" applyFill="1"/>
    <xf numFmtId="0" fontId="0" fillId="0" borderId="9" xfId="0" applyBorder="1"/>
    <xf numFmtId="0" fontId="0" fillId="0" borderId="25" xfId="0" applyBorder="1"/>
    <xf numFmtId="0" fontId="0" fillId="0" borderId="14" xfId="0" applyBorder="1"/>
    <xf numFmtId="0" fontId="0" fillId="0" borderId="27" xfId="0" applyBorder="1"/>
    <xf numFmtId="0" fontId="8" fillId="15" borderId="0" xfId="0" applyFont="1" applyFill="1"/>
    <xf numFmtId="0" fontId="6" fillId="15" borderId="0" xfId="0" applyFont="1" applyFill="1"/>
    <xf numFmtId="0" fontId="7" fillId="0" borderId="32" xfId="0" applyFont="1" applyBorder="1"/>
    <xf numFmtId="0" fontId="7" fillId="0" borderId="39" xfId="0" applyFont="1" applyBorder="1"/>
    <xf numFmtId="0" fontId="7" fillId="0" borderId="49" xfId="0" applyFont="1" applyBorder="1"/>
    <xf numFmtId="0" fontId="7" fillId="0" borderId="34" xfId="0" applyFont="1" applyBorder="1"/>
    <xf numFmtId="0" fontId="7" fillId="0" borderId="23" xfId="0" applyFont="1" applyBorder="1"/>
    <xf numFmtId="0" fontId="7" fillId="0" borderId="25" xfId="0" applyFont="1" applyBorder="1"/>
    <xf numFmtId="0" fontId="2" fillId="0" borderId="14" xfId="0" applyFont="1" applyBorder="1"/>
    <xf numFmtId="0" fontId="2" fillId="0" borderId="27" xfId="0" applyFont="1" applyBorder="1"/>
    <xf numFmtId="0" fontId="7" fillId="0" borderId="53" xfId="0" applyFont="1" applyBorder="1"/>
    <xf numFmtId="0" fontId="7" fillId="0" borderId="54" xfId="0" applyFont="1" applyBorder="1"/>
    <xf numFmtId="0" fontId="7" fillId="0" borderId="55" xfId="0" applyFont="1" applyBorder="1"/>
    <xf numFmtId="0" fontId="7" fillId="0" borderId="56" xfId="0" applyFont="1" applyBorder="1"/>
    <xf numFmtId="0" fontId="9" fillId="17" borderId="65" xfId="0" applyFont="1" applyFill="1" applyBorder="1" applyAlignment="1">
      <alignment horizontal="left"/>
    </xf>
    <xf numFmtId="0" fontId="9" fillId="17" borderId="66" xfId="0" applyFont="1" applyFill="1" applyBorder="1" applyAlignment="1">
      <alignment horizontal="left"/>
    </xf>
    <xf numFmtId="0" fontId="9" fillId="17" borderId="67" xfId="0" applyFont="1" applyFill="1" applyBorder="1" applyAlignment="1">
      <alignment horizontal="left"/>
    </xf>
    <xf numFmtId="0" fontId="9" fillId="0" borderId="2" xfId="0" applyFont="1" applyBorder="1"/>
    <xf numFmtId="0" fontId="7" fillId="0" borderId="2" xfId="0" applyFont="1" applyBorder="1"/>
    <xf numFmtId="0" fontId="11" fillId="0" borderId="2" xfId="0" applyFont="1" applyBorder="1"/>
    <xf numFmtId="0" fontId="9" fillId="0" borderId="71" xfId="0" applyFont="1" applyBorder="1" applyAlignment="1">
      <alignment horizontal="left"/>
    </xf>
    <xf numFmtId="0" fontId="9" fillId="0" borderId="72" xfId="0" applyFont="1" applyBorder="1"/>
    <xf numFmtId="0" fontId="9" fillId="5" borderId="72" xfId="0" applyFont="1" applyFill="1" applyBorder="1"/>
    <xf numFmtId="0" fontId="9" fillId="6" borderId="72" xfId="0" applyFont="1" applyFill="1" applyBorder="1"/>
    <xf numFmtId="0" fontId="9" fillId="7" borderId="72" xfId="0" applyFont="1" applyFill="1" applyBorder="1"/>
    <xf numFmtId="0" fontId="9" fillId="15" borderId="73" xfId="0" applyFont="1" applyFill="1" applyBorder="1"/>
    <xf numFmtId="1" fontId="11" fillId="7" borderId="5" xfId="0" applyNumberFormat="1" applyFont="1" applyFill="1" applyBorder="1"/>
    <xf numFmtId="1" fontId="11" fillId="7" borderId="5" xfId="0" applyNumberFormat="1" applyFont="1" applyFill="1" applyBorder="1" applyAlignment="1">
      <alignment horizontal="right"/>
    </xf>
    <xf numFmtId="0" fontId="11" fillId="0" borderId="24" xfId="0" applyFont="1" applyBorder="1"/>
    <xf numFmtId="0" fontId="7" fillId="10" borderId="76" xfId="0" applyFont="1" applyFill="1" applyBorder="1" applyAlignment="1">
      <alignment horizontal="center" vertical="center"/>
    </xf>
    <xf numFmtId="0" fontId="9" fillId="0" borderId="77" xfId="0" applyFont="1" applyBorder="1" applyAlignment="1">
      <alignment horizontal="right"/>
    </xf>
    <xf numFmtId="0" fontId="11" fillId="8" borderId="6" xfId="0" applyFont="1" applyFill="1" applyBorder="1" applyAlignment="1">
      <alignment horizontal="right"/>
    </xf>
    <xf numFmtId="0" fontId="11" fillId="9" borderId="6" xfId="0" applyFont="1" applyFill="1" applyBorder="1" applyAlignment="1">
      <alignment horizontal="right"/>
    </xf>
    <xf numFmtId="0" fontId="9" fillId="0" borderId="78" xfId="0" applyFont="1" applyBorder="1" applyAlignment="1">
      <alignment horizontal="left"/>
    </xf>
    <xf numFmtId="0" fontId="11" fillId="8" borderId="79" xfId="0" applyFont="1" applyFill="1" applyBorder="1" applyAlignment="1">
      <alignment horizontal="left"/>
    </xf>
    <xf numFmtId="0" fontId="11" fillId="9" borderId="80" xfId="0" applyFont="1" applyFill="1" applyBorder="1" applyAlignment="1">
      <alignment horizontal="left"/>
    </xf>
    <xf numFmtId="0" fontId="13" fillId="4" borderId="81" xfId="0" applyFont="1" applyFill="1" applyBorder="1" applyAlignment="1">
      <alignment horizontal="left"/>
    </xf>
    <xf numFmtId="0" fontId="13" fillId="3" borderId="82" xfId="0" applyFont="1" applyFill="1" applyBorder="1"/>
    <xf numFmtId="0" fontId="7" fillId="15" borderId="15" xfId="0" applyFont="1" applyFill="1" applyBorder="1"/>
    <xf numFmtId="0" fontId="7" fillId="15" borderId="16" xfId="0" applyFont="1" applyFill="1" applyBorder="1"/>
    <xf numFmtId="0" fontId="7" fillId="15" borderId="17" xfId="0" applyFont="1" applyFill="1" applyBorder="1"/>
    <xf numFmtId="0" fontId="7" fillId="15" borderId="18" xfId="0" applyFont="1" applyFill="1" applyBorder="1"/>
    <xf numFmtId="0" fontId="7" fillId="16" borderId="28" xfId="0" applyFont="1" applyFill="1" applyBorder="1"/>
    <xf numFmtId="0" fontId="7" fillId="15" borderId="28" xfId="0" applyFont="1" applyFill="1" applyBorder="1"/>
    <xf numFmtId="0" fontId="7" fillId="15" borderId="31" xfId="0" applyFont="1" applyFill="1" applyBorder="1"/>
    <xf numFmtId="0" fontId="7" fillId="16" borderId="44" xfId="0" applyFont="1" applyFill="1" applyBorder="1"/>
    <xf numFmtId="0" fontId="7" fillId="15" borderId="45" xfId="0" applyFont="1" applyFill="1" applyBorder="1" applyAlignment="1">
      <alignment horizontal="center"/>
    </xf>
    <xf numFmtId="0" fontId="7" fillId="15" borderId="38" xfId="0" applyFont="1" applyFill="1" applyBorder="1" applyAlignment="1">
      <alignment horizontal="center"/>
    </xf>
    <xf numFmtId="0" fontId="7" fillId="15" borderId="39" xfId="0" applyFont="1" applyFill="1" applyBorder="1" applyAlignment="1">
      <alignment horizontal="center"/>
    </xf>
    <xf numFmtId="0" fontId="7" fillId="15" borderId="50" xfId="0" applyFont="1" applyFill="1" applyBorder="1" applyAlignment="1">
      <alignment horizontal="center"/>
    </xf>
    <xf numFmtId="0" fontId="7" fillId="15" borderId="40" xfId="0" applyFont="1" applyFill="1" applyBorder="1" applyAlignment="1">
      <alignment horizontal="center"/>
    </xf>
    <xf numFmtId="0" fontId="7" fillId="15" borderId="42" xfId="0" applyFont="1" applyFill="1" applyBorder="1" applyAlignment="1">
      <alignment horizontal="center"/>
    </xf>
    <xf numFmtId="0" fontId="11" fillId="15" borderId="63" xfId="0" applyFont="1" applyFill="1" applyBorder="1"/>
    <xf numFmtId="0" fontId="9" fillId="0" borderId="2" xfId="0" applyFont="1" applyBorder="1" applyAlignment="1">
      <alignment horizontal="center" vertical="center" wrapText="1"/>
    </xf>
    <xf numFmtId="0" fontId="9" fillId="0" borderId="2" xfId="0" applyFont="1" applyBorder="1" applyAlignment="1">
      <alignment horizontal="center" vertical="center"/>
    </xf>
    <xf numFmtId="165" fontId="11" fillId="0" borderId="2" xfId="0" applyNumberFormat="1" applyFont="1" applyBorder="1"/>
    <xf numFmtId="0" fontId="13" fillId="0" borderId="85" xfId="0" applyFont="1" applyBorder="1" applyAlignment="1">
      <alignment horizontal="left"/>
    </xf>
    <xf numFmtId="0" fontId="11" fillId="0" borderId="4" xfId="0" applyFont="1" applyBorder="1"/>
    <xf numFmtId="0" fontId="11" fillId="0" borderId="72" xfId="0" applyFont="1" applyBorder="1" applyAlignment="1">
      <alignment horizontal="left"/>
    </xf>
    <xf numFmtId="0" fontId="9" fillId="0" borderId="72" xfId="0" applyFont="1" applyBorder="1" applyAlignment="1">
      <alignment horizontal="left"/>
    </xf>
    <xf numFmtId="0" fontId="9" fillId="0" borderId="89" xfId="0" applyFont="1" applyBorder="1" applyAlignment="1">
      <alignment horizontal="left"/>
    </xf>
    <xf numFmtId="0" fontId="11" fillId="3" borderId="57" xfId="0" applyFont="1" applyFill="1" applyBorder="1"/>
    <xf numFmtId="1" fontId="11" fillId="0" borderId="58" xfId="0" applyNumberFormat="1" applyFont="1" applyBorder="1" applyAlignment="1">
      <alignment horizontal="right"/>
    </xf>
    <xf numFmtId="1" fontId="11" fillId="3" borderId="57" xfId="0" applyNumberFormat="1" applyFont="1" applyFill="1" applyBorder="1"/>
    <xf numFmtId="0" fontId="11" fillId="3" borderId="59" xfId="0" applyFont="1" applyFill="1" applyBorder="1"/>
    <xf numFmtId="0" fontId="11" fillId="4" borderId="3" xfId="0" applyFont="1" applyFill="1" applyBorder="1" applyAlignment="1">
      <alignment horizontal="right"/>
    </xf>
    <xf numFmtId="0" fontId="11" fillId="4" borderId="6" xfId="0" applyFont="1" applyFill="1" applyBorder="1" applyAlignment="1">
      <alignment horizontal="right"/>
    </xf>
    <xf numFmtId="0" fontId="11" fillId="3" borderId="90" xfId="0" applyFont="1" applyFill="1" applyBorder="1"/>
    <xf numFmtId="0" fontId="11" fillId="0" borderId="91" xfId="0" applyFont="1" applyBorder="1"/>
    <xf numFmtId="0" fontId="11" fillId="4" borderId="91" xfId="0" applyFont="1" applyFill="1" applyBorder="1" applyAlignment="1">
      <alignment horizontal="right"/>
    </xf>
    <xf numFmtId="1" fontId="11" fillId="0" borderId="66" xfId="0" applyNumberFormat="1" applyFont="1" applyBorder="1" applyAlignment="1">
      <alignment horizontal="right"/>
    </xf>
    <xf numFmtId="1" fontId="11" fillId="0" borderId="67" xfId="0" applyNumberFormat="1" applyFont="1" applyBorder="1" applyAlignment="1">
      <alignment horizontal="right"/>
    </xf>
    <xf numFmtId="1" fontId="11" fillId="20" borderId="59" xfId="0" applyNumberFormat="1" applyFont="1" applyFill="1" applyBorder="1"/>
    <xf numFmtId="1" fontId="11" fillId="20" borderId="59" xfId="0" applyNumberFormat="1" applyFont="1" applyFill="1" applyBorder="1" applyAlignment="1">
      <alignment horizontal="left"/>
    </xf>
    <xf numFmtId="1" fontId="11" fillId="20" borderId="57" xfId="0" applyNumberFormat="1" applyFont="1" applyFill="1" applyBorder="1" applyAlignment="1">
      <alignment horizontal="left"/>
    </xf>
    <xf numFmtId="1" fontId="11" fillId="20" borderId="57" xfId="0" applyNumberFormat="1" applyFont="1" applyFill="1" applyBorder="1"/>
    <xf numFmtId="1" fontId="11" fillId="20" borderId="62" xfId="0" applyNumberFormat="1" applyFont="1" applyFill="1" applyBorder="1" applyAlignment="1">
      <alignment horizontal="left"/>
    </xf>
    <xf numFmtId="1" fontId="1" fillId="20" borderId="57" xfId="0" applyNumberFormat="1" applyFont="1" applyFill="1" applyBorder="1" applyAlignment="1">
      <alignment horizontal="left"/>
    </xf>
    <xf numFmtId="1" fontId="1" fillId="20" borderId="65" xfId="0" applyNumberFormat="1" applyFont="1" applyFill="1" applyBorder="1" applyAlignment="1">
      <alignment horizontal="left"/>
    </xf>
    <xf numFmtId="1" fontId="11" fillId="21" borderId="3" xfId="0" applyNumberFormat="1" applyFont="1" applyFill="1" applyBorder="1"/>
    <xf numFmtId="164" fontId="11" fillId="21" borderId="3" xfId="0" applyNumberFormat="1" applyFont="1" applyFill="1" applyBorder="1"/>
    <xf numFmtId="1" fontId="11" fillId="21" borderId="60" xfId="0" applyNumberFormat="1" applyFont="1" applyFill="1" applyBorder="1"/>
    <xf numFmtId="1" fontId="11" fillId="21" borderId="3" xfId="0" applyNumberFormat="1" applyFont="1" applyFill="1" applyBorder="1" applyAlignment="1">
      <alignment horizontal="right"/>
    </xf>
    <xf numFmtId="164" fontId="11" fillId="21" borderId="3" xfId="0" applyNumberFormat="1" applyFont="1" applyFill="1" applyBorder="1" applyAlignment="1">
      <alignment horizontal="right"/>
    </xf>
    <xf numFmtId="1" fontId="11" fillId="21" borderId="60" xfId="0" applyNumberFormat="1" applyFont="1" applyFill="1" applyBorder="1" applyAlignment="1">
      <alignment horizontal="right"/>
    </xf>
    <xf numFmtId="1" fontId="11" fillId="21" borderId="1" xfId="0" applyNumberFormat="1" applyFont="1" applyFill="1" applyBorder="1"/>
    <xf numFmtId="164" fontId="11" fillId="21" borderId="1" xfId="0" applyNumberFormat="1" applyFont="1" applyFill="1" applyBorder="1"/>
    <xf numFmtId="1" fontId="11" fillId="21" borderId="58" xfId="0" applyNumberFormat="1" applyFont="1" applyFill="1" applyBorder="1"/>
    <xf numFmtId="1" fontId="11" fillId="21" borderId="1" xfId="0" applyNumberFormat="1" applyFont="1" applyFill="1" applyBorder="1" applyAlignment="1">
      <alignment horizontal="right"/>
    </xf>
    <xf numFmtId="164" fontId="11" fillId="21" borderId="1" xfId="0" applyNumberFormat="1" applyFont="1" applyFill="1" applyBorder="1" applyAlignment="1">
      <alignment horizontal="right"/>
    </xf>
    <xf numFmtId="1" fontId="11" fillId="21" borderId="58" xfId="0" applyNumberFormat="1" applyFont="1" applyFill="1" applyBorder="1" applyAlignment="1">
      <alignment horizontal="right"/>
    </xf>
    <xf numFmtId="1" fontId="11" fillId="21" borderId="6" xfId="0" applyNumberFormat="1" applyFont="1" applyFill="1" applyBorder="1" applyAlignment="1">
      <alignment horizontal="right"/>
    </xf>
    <xf numFmtId="164" fontId="11" fillId="21" borderId="6" xfId="0" applyNumberFormat="1" applyFont="1" applyFill="1" applyBorder="1" applyAlignment="1">
      <alignment horizontal="right"/>
    </xf>
    <xf numFmtId="1" fontId="11" fillId="21" borderId="61" xfId="0" applyNumberFormat="1" applyFont="1" applyFill="1" applyBorder="1" applyAlignment="1">
      <alignment horizontal="right"/>
    </xf>
    <xf numFmtId="1" fontId="11" fillId="21" borderId="4" xfId="0" applyNumberFormat="1" applyFont="1" applyFill="1" applyBorder="1"/>
    <xf numFmtId="164" fontId="11" fillId="21" borderId="4" xfId="0" applyNumberFormat="1" applyFont="1" applyFill="1" applyBorder="1"/>
    <xf numFmtId="1" fontId="11" fillId="21" borderId="63" xfId="0" applyNumberFormat="1" applyFont="1" applyFill="1" applyBorder="1"/>
    <xf numFmtId="1" fontId="11" fillId="21" borderId="7" xfId="0" applyNumberFormat="1" applyFont="1" applyFill="1" applyBorder="1" applyAlignment="1">
      <alignment horizontal="right"/>
    </xf>
    <xf numFmtId="164" fontId="11" fillId="21" borderId="7" xfId="0" applyNumberFormat="1" applyFont="1" applyFill="1" applyBorder="1" applyAlignment="1">
      <alignment horizontal="right"/>
    </xf>
    <xf numFmtId="1" fontId="11" fillId="21" borderId="64" xfId="0" applyNumberFormat="1" applyFont="1" applyFill="1" applyBorder="1" applyAlignment="1">
      <alignment horizontal="right"/>
    </xf>
    <xf numFmtId="0" fontId="11" fillId="21" borderId="1" xfId="0" applyFont="1" applyFill="1" applyBorder="1"/>
    <xf numFmtId="1" fontId="1" fillId="21" borderId="1" xfId="0" applyNumberFormat="1" applyFont="1" applyFill="1" applyBorder="1"/>
    <xf numFmtId="164" fontId="1" fillId="21" borderId="1" xfId="0" applyNumberFormat="1" applyFont="1" applyFill="1" applyBorder="1"/>
    <xf numFmtId="1" fontId="1" fillId="21" borderId="58" xfId="0" applyNumberFormat="1" applyFont="1" applyFill="1" applyBorder="1"/>
    <xf numFmtId="1" fontId="1" fillId="21" borderId="66" xfId="0" applyNumberFormat="1" applyFont="1" applyFill="1" applyBorder="1"/>
    <xf numFmtId="164" fontId="1" fillId="21" borderId="66" xfId="0" applyNumberFormat="1" applyFont="1" applyFill="1" applyBorder="1"/>
    <xf numFmtId="1" fontId="1" fillId="21" borderId="67" xfId="0" applyNumberFormat="1" applyFont="1" applyFill="1" applyBorder="1"/>
    <xf numFmtId="1" fontId="11" fillId="15" borderId="63" xfId="0" applyNumberFormat="1" applyFont="1" applyFill="1" applyBorder="1"/>
    <xf numFmtId="0" fontId="7" fillId="0" borderId="8" xfId="0" applyFont="1" applyBorder="1"/>
    <xf numFmtId="0" fontId="6" fillId="0" borderId="8" xfId="0" applyFont="1" applyBorder="1"/>
    <xf numFmtId="0" fontId="6" fillId="0" borderId="9" xfId="0" applyFont="1" applyBorder="1"/>
    <xf numFmtId="0" fontId="6" fillId="0" borderId="23" xfId="0" applyFont="1" applyBorder="1"/>
    <xf numFmtId="0" fontId="6" fillId="0" borderId="25" xfId="0" applyFont="1" applyBorder="1"/>
    <xf numFmtId="0" fontId="7" fillId="0" borderId="95" xfId="0" applyFont="1" applyBorder="1"/>
    <xf numFmtId="14" fontId="7" fillId="16" borderId="10" xfId="0" applyNumberFormat="1" applyFont="1" applyFill="1" applyBorder="1"/>
    <xf numFmtId="0" fontId="12" fillId="0" borderId="14" xfId="0" applyFont="1" applyBorder="1"/>
    <xf numFmtId="0" fontId="12" fillId="0" borderId="27" xfId="0" applyFont="1" applyBorder="1"/>
    <xf numFmtId="0" fontId="7" fillId="0" borderId="105" xfId="0" applyFont="1" applyBorder="1"/>
    <xf numFmtId="0" fontId="7" fillId="0" borderId="111" xfId="0" applyFont="1" applyBorder="1"/>
    <xf numFmtId="0" fontId="7" fillId="0" borderId="53"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9" fillId="18" borderId="20" xfId="0" applyFont="1" applyFill="1" applyBorder="1" applyAlignment="1">
      <alignment horizontal="center"/>
    </xf>
    <xf numFmtId="0" fontId="10" fillId="19" borderId="21" xfId="0" applyFont="1" applyFill="1" applyBorder="1"/>
    <xf numFmtId="0" fontId="10" fillId="19" borderId="22" xfId="0" applyFont="1" applyFill="1" applyBorder="1"/>
    <xf numFmtId="0" fontId="9" fillId="13" borderId="68" xfId="0" applyFont="1" applyFill="1" applyBorder="1" applyAlignment="1">
      <alignment horizontal="center" vertical="center" wrapText="1"/>
    </xf>
    <xf numFmtId="0" fontId="10" fillId="0" borderId="83" xfId="0" applyFont="1" applyBorder="1"/>
    <xf numFmtId="0" fontId="10" fillId="0" borderId="84" xfId="0" applyFont="1" applyBorder="1"/>
    <xf numFmtId="0" fontId="9" fillId="0" borderId="0" xfId="0" applyFont="1" applyAlignment="1">
      <alignment horizontal="left" vertical="center"/>
    </xf>
    <xf numFmtId="0" fontId="7" fillId="0" borderId="0" xfId="0" applyFont="1"/>
    <xf numFmtId="0" fontId="12" fillId="0" borderId="0" xfId="0" applyFont="1" applyAlignment="1">
      <alignment horizontal="left" vertical="center"/>
    </xf>
    <xf numFmtId="0" fontId="7" fillId="11" borderId="26" xfId="0" applyFont="1" applyFill="1" applyBorder="1" applyAlignment="1">
      <alignment horizontal="center" vertical="center" wrapText="1"/>
    </xf>
    <xf numFmtId="0" fontId="10" fillId="0" borderId="14" xfId="0" applyFont="1" applyBorder="1"/>
    <xf numFmtId="0" fontId="10" fillId="0" borderId="27" xfId="0" applyFont="1" applyBorder="1"/>
    <xf numFmtId="0" fontId="11" fillId="12" borderId="74" xfId="0" applyFont="1" applyFill="1" applyBorder="1" applyAlignment="1">
      <alignment horizontal="center"/>
    </xf>
    <xf numFmtId="0" fontId="10" fillId="0" borderId="75" xfId="0" applyFont="1" applyBorder="1"/>
    <xf numFmtId="0" fontId="11" fillId="2" borderId="69" xfId="0" applyFont="1" applyFill="1" applyBorder="1" applyAlignment="1">
      <alignment horizontal="right"/>
    </xf>
    <xf numFmtId="0" fontId="10" fillId="0" borderId="70" xfId="0" applyFont="1" applyBorder="1"/>
    <xf numFmtId="0" fontId="10" fillId="0" borderId="3" xfId="0" applyFont="1" applyBorder="1"/>
    <xf numFmtId="0" fontId="11" fillId="2" borderId="86" xfId="0" applyFont="1" applyFill="1" applyBorder="1" applyAlignment="1">
      <alignment horizontal="right"/>
    </xf>
    <xf numFmtId="0" fontId="10" fillId="0" borderId="87" xfId="0" applyFont="1" applyBorder="1"/>
    <xf numFmtId="0" fontId="10" fillId="0" borderId="88" xfId="0" applyFont="1" applyBorder="1"/>
    <xf numFmtId="0" fontId="7" fillId="16" borderId="12" xfId="0" applyFont="1" applyFill="1" applyBorder="1" applyAlignment="1">
      <alignment horizontal="center"/>
    </xf>
    <xf numFmtId="0" fontId="7" fillId="16" borderId="13" xfId="0" applyFont="1" applyFill="1" applyBorder="1" applyAlignment="1">
      <alignment horizontal="center"/>
    </xf>
    <xf numFmtId="0" fontId="7" fillId="16" borderId="11" xfId="0" applyFont="1" applyFill="1" applyBorder="1" applyAlignment="1">
      <alignment horizontal="center"/>
    </xf>
    <xf numFmtId="0" fontId="7" fillId="16" borderId="29" xfId="0" applyFont="1" applyFill="1" applyBorder="1" applyAlignment="1">
      <alignment horizontal="center"/>
    </xf>
    <xf numFmtId="0" fontId="7" fillId="16" borderId="30" xfId="0" applyFont="1" applyFill="1" applyBorder="1" applyAlignment="1">
      <alignment horizontal="center"/>
    </xf>
    <xf numFmtId="0" fontId="7" fillId="16" borderId="31" xfId="0" applyFont="1" applyFill="1" applyBorder="1" applyAlignment="1">
      <alignment horizontal="center"/>
    </xf>
    <xf numFmtId="0" fontId="7" fillId="0" borderId="107" xfId="0" applyFont="1" applyBorder="1" applyAlignment="1">
      <alignment horizontal="center" vertical="center"/>
    </xf>
    <xf numFmtId="0" fontId="7" fillId="0" borderId="108" xfId="0" applyFont="1" applyBorder="1" applyAlignment="1">
      <alignment horizontal="center" vertical="center"/>
    </xf>
    <xf numFmtId="0" fontId="7" fillId="0" borderId="115" xfId="0" applyFont="1" applyBorder="1" applyAlignment="1">
      <alignment horizontal="center" vertical="center"/>
    </xf>
    <xf numFmtId="0" fontId="7" fillId="0" borderId="37" xfId="0" applyFont="1" applyBorder="1" applyAlignment="1">
      <alignment horizontal="center" vertical="center"/>
    </xf>
    <xf numFmtId="0" fontId="7" fillId="0" borderId="40" xfId="0" applyFont="1" applyBorder="1" applyAlignment="1">
      <alignment horizontal="center" vertical="center"/>
    </xf>
    <xf numFmtId="0" fontId="7" fillId="0" borderId="34" xfId="0" applyFont="1" applyBorder="1" applyAlignment="1">
      <alignment horizontal="center" vertical="center"/>
    </xf>
    <xf numFmtId="0" fontId="7" fillId="0" borderId="32" xfId="0" applyFont="1" applyBorder="1" applyAlignment="1">
      <alignment horizontal="center" vertical="center"/>
    </xf>
    <xf numFmtId="0" fontId="7" fillId="0" borderId="105" xfId="0" applyFont="1" applyBorder="1" applyAlignment="1">
      <alignment horizontal="center" vertical="center"/>
    </xf>
    <xf numFmtId="0" fontId="7" fillId="0" borderId="111" xfId="0" applyFont="1" applyBorder="1" applyAlignment="1">
      <alignment horizontal="center" vertical="center"/>
    </xf>
    <xf numFmtId="0" fontId="7" fillId="0" borderId="35" xfId="0" applyFont="1" applyBorder="1" applyAlignment="1">
      <alignment horizontal="center" vertical="center"/>
    </xf>
    <xf numFmtId="0" fontId="7" fillId="0" borderId="98" xfId="0" applyFont="1" applyBorder="1" applyAlignment="1">
      <alignment horizontal="center" vertical="center"/>
    </xf>
    <xf numFmtId="0" fontId="7" fillId="0" borderId="43" xfId="0" applyFont="1" applyBorder="1" applyAlignment="1">
      <alignment horizontal="center" vertical="center"/>
    </xf>
    <xf numFmtId="0" fontId="7" fillId="0" borderId="42" xfId="0" applyFont="1" applyBorder="1" applyAlignment="1">
      <alignment horizontal="center" vertical="center"/>
    </xf>
    <xf numFmtId="0" fontId="7" fillId="0" borderId="109" xfId="0" applyFont="1" applyBorder="1" applyAlignment="1">
      <alignment horizontal="center" vertical="center"/>
    </xf>
    <xf numFmtId="0" fontId="7" fillId="0" borderId="96" xfId="0" applyFont="1" applyBorder="1" applyAlignment="1">
      <alignment horizontal="center" vertical="center"/>
    </xf>
    <xf numFmtId="0" fontId="7" fillId="0" borderId="114" xfId="0" applyFont="1" applyBorder="1" applyAlignment="1">
      <alignment horizontal="center" vertical="center"/>
    </xf>
    <xf numFmtId="0" fontId="7" fillId="0" borderId="53"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36" xfId="0" applyFont="1" applyBorder="1" applyAlignment="1">
      <alignment horizontal="center" vertical="center"/>
    </xf>
    <xf numFmtId="0" fontId="7" fillId="0" borderId="39" xfId="0" applyFont="1" applyBorder="1" applyAlignment="1">
      <alignment horizontal="center" vertical="center"/>
    </xf>
    <xf numFmtId="0" fontId="7" fillId="0" borderId="95" xfId="0" applyFont="1" applyBorder="1" applyAlignment="1">
      <alignment horizontal="center" vertical="center"/>
    </xf>
    <xf numFmtId="0" fontId="7" fillId="0" borderId="38" xfId="0" applyFont="1" applyBorder="1" applyAlignment="1">
      <alignment horizontal="center" vertical="center"/>
    </xf>
    <xf numFmtId="0" fontId="7" fillId="0" borderId="112" xfId="0" applyFont="1" applyBorder="1" applyAlignment="1">
      <alignment horizontal="center" vertical="center"/>
    </xf>
    <xf numFmtId="0" fontId="7" fillId="0" borderId="51" xfId="0" applyFont="1" applyBorder="1" applyAlignment="1">
      <alignment horizontal="center" vertical="center"/>
    </xf>
    <xf numFmtId="0" fontId="7" fillId="0" borderId="113" xfId="0" applyFont="1" applyBorder="1" applyAlignment="1">
      <alignment horizontal="center" vertical="center"/>
    </xf>
    <xf numFmtId="0" fontId="7" fillId="0" borderId="50" xfId="0" applyFont="1" applyBorder="1" applyAlignment="1">
      <alignment horizontal="center" vertical="center"/>
    </xf>
    <xf numFmtId="0" fontId="7" fillId="0" borderId="97" xfId="0" applyFont="1" applyBorder="1" applyAlignment="1">
      <alignment horizontal="center" vertical="center"/>
    </xf>
    <xf numFmtId="0" fontId="7" fillId="0" borderId="110" xfId="0" applyFont="1" applyBorder="1" applyAlignment="1">
      <alignment horizontal="center" vertical="center"/>
    </xf>
    <xf numFmtId="0" fontId="7" fillId="0" borderId="104" xfId="0" applyFont="1" applyBorder="1" applyAlignment="1">
      <alignment horizontal="center" vertical="center"/>
    </xf>
    <xf numFmtId="0" fontId="7" fillId="0" borderId="33" xfId="0" applyFont="1" applyBorder="1" applyAlignment="1">
      <alignment horizontal="center" vertical="center"/>
    </xf>
    <xf numFmtId="0" fontId="7" fillId="0" borderId="41" xfId="0" applyFont="1" applyBorder="1" applyAlignment="1">
      <alignment horizontal="center" vertical="center"/>
    </xf>
    <xf numFmtId="0" fontId="7" fillId="0" borderId="52" xfId="0" applyFont="1" applyBorder="1" applyAlignment="1">
      <alignment horizontal="center" vertical="center"/>
    </xf>
    <xf numFmtId="0" fontId="7" fillId="0" borderId="93"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92" xfId="0" applyFont="1" applyBorder="1" applyAlignment="1">
      <alignment horizontal="center" vertical="center"/>
    </xf>
    <xf numFmtId="0" fontId="7" fillId="0" borderId="94" xfId="0" applyFont="1" applyBorder="1" applyAlignment="1">
      <alignment horizontal="center" vertical="center"/>
    </xf>
    <xf numFmtId="0" fontId="7" fillId="0" borderId="44" xfId="0" applyFont="1" applyBorder="1" applyAlignment="1">
      <alignment horizontal="center" vertical="center"/>
    </xf>
    <xf numFmtId="0" fontId="7" fillId="0" borderId="101" xfId="0" applyFont="1" applyBorder="1" applyAlignment="1">
      <alignment horizontal="center" vertical="center"/>
    </xf>
    <xf numFmtId="0" fontId="7" fillId="0" borderId="46" xfId="0" applyFont="1" applyBorder="1" applyAlignment="1">
      <alignment horizontal="center" vertical="center"/>
    </xf>
    <xf numFmtId="0" fontId="7" fillId="0" borderId="45" xfId="0" applyFont="1" applyBorder="1" applyAlignment="1">
      <alignment horizontal="center" vertical="center"/>
    </xf>
    <xf numFmtId="0" fontId="7" fillId="16" borderId="47" xfId="0" applyFont="1" applyFill="1" applyBorder="1" applyAlignment="1">
      <alignment horizontal="center"/>
    </xf>
    <xf numFmtId="0" fontId="7" fillId="16" borderId="48" xfId="0" applyFont="1" applyFill="1" applyBorder="1" applyAlignment="1">
      <alignment horizontal="center"/>
    </xf>
    <xf numFmtId="0" fontId="7" fillId="16" borderId="33" xfId="0" applyFont="1" applyFill="1" applyBorder="1" applyAlignment="1">
      <alignment horizontal="center"/>
    </xf>
    <xf numFmtId="0" fontId="7" fillId="16" borderId="34" xfId="0" applyFont="1" applyFill="1" applyBorder="1" applyAlignment="1">
      <alignment horizontal="center"/>
    </xf>
    <xf numFmtId="0" fontId="7" fillId="16" borderId="35" xfId="0" applyFont="1" applyFill="1" applyBorder="1" applyAlignment="1">
      <alignment horizontal="center"/>
    </xf>
    <xf numFmtId="0" fontId="7" fillId="16" borderId="41" xfId="0" applyFont="1" applyFill="1" applyBorder="1" applyAlignment="1">
      <alignment horizontal="center"/>
    </xf>
    <xf numFmtId="0" fontId="7" fillId="0" borderId="106" xfId="0" applyFont="1" applyBorder="1" applyAlignment="1">
      <alignment horizontal="center" vertical="center"/>
    </xf>
    <xf numFmtId="0" fontId="7" fillId="0" borderId="49" xfId="0" applyFont="1" applyBorder="1" applyAlignment="1">
      <alignment horizontal="center" vertical="center"/>
    </xf>
    <xf numFmtId="0" fontId="7" fillId="0" borderId="99" xfId="0" applyFont="1" applyBorder="1" applyAlignment="1">
      <alignment horizontal="center" vertical="center"/>
    </xf>
    <xf numFmtId="0" fontId="7" fillId="0" borderId="100" xfId="0" applyFont="1" applyBorder="1" applyAlignment="1">
      <alignment horizontal="center" vertical="center"/>
    </xf>
    <xf numFmtId="0" fontId="0" fillId="0" borderId="0" xfId="0" applyNumberFormat="1"/>
  </cellXfs>
  <cellStyles count="1">
    <cellStyle name="Normal" xfId="0" builtinId="0"/>
  </cellStyles>
  <dxfs count="22">
    <dxf>
      <font>
        <b val="0"/>
        <i val="0"/>
        <strike val="0"/>
        <condense val="0"/>
        <extend val="0"/>
        <outline val="0"/>
        <shadow val="0"/>
        <u val="none"/>
        <vertAlign val="baseline"/>
        <sz val="10"/>
        <color rgb="FF000000"/>
        <name val="Arial"/>
        <family val="2"/>
        <scheme val="minor"/>
      </font>
      <numFmt numFmtId="0" formatCode="General"/>
    </dxf>
    <dxf>
      <font>
        <b val="0"/>
        <i val="0"/>
        <strike val="0"/>
        <condense val="0"/>
        <extend val="0"/>
        <outline val="0"/>
        <shadow val="0"/>
        <u val="none"/>
        <vertAlign val="baseline"/>
        <sz val="10"/>
        <color rgb="FF000000"/>
        <name val="Arial"/>
        <family val="2"/>
        <scheme val="minor"/>
      </font>
      <numFmt numFmtId="0" formatCode="General"/>
    </dxf>
    <dxf>
      <font>
        <b val="0"/>
        <i val="0"/>
        <strike val="0"/>
        <condense val="0"/>
        <extend val="0"/>
        <outline val="0"/>
        <shadow val="0"/>
        <u val="none"/>
        <vertAlign val="baseline"/>
        <sz val="10"/>
        <color rgb="FF000000"/>
        <name val="Arial"/>
        <family val="2"/>
        <scheme val="minor"/>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2"/>
        <color rgb="FF000000"/>
        <name val="Arial"/>
        <family val="2"/>
        <scheme val="minor"/>
      </font>
      <numFmt numFmtId="164" formatCode="0.0"/>
    </dxf>
    <dxf>
      <font>
        <b val="0"/>
        <i val="0"/>
        <strike val="0"/>
        <condense val="0"/>
        <extend val="0"/>
        <outline val="0"/>
        <shadow val="0"/>
        <u val="none"/>
        <vertAlign val="baseline"/>
        <sz val="12"/>
        <color rgb="FF000000"/>
        <name val="Arial"/>
        <family val="2"/>
        <scheme val="minor"/>
      </font>
      <numFmt numFmtId="164" formatCode="0.0"/>
    </dxf>
    <dxf>
      <font>
        <b val="0"/>
        <i val="0"/>
        <strike val="0"/>
        <condense val="0"/>
        <extend val="0"/>
        <outline val="0"/>
        <shadow val="0"/>
        <u val="none"/>
        <vertAlign val="baseline"/>
        <sz val="12"/>
        <color rgb="FF000000"/>
        <name val="Arial"/>
        <family val="2"/>
        <scheme val="minor"/>
      </font>
      <numFmt numFmtId="0" formatCode="General"/>
    </dxf>
    <dxf>
      <font>
        <b val="0"/>
        <i val="0"/>
        <strike val="0"/>
        <condense val="0"/>
        <extend val="0"/>
        <outline val="0"/>
        <shadow val="0"/>
        <u val="none"/>
        <vertAlign val="baseline"/>
        <sz val="12"/>
        <color rgb="FF000000"/>
        <name val="Arial"/>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rgb="FF000000"/>
        <name val="Arial"/>
        <family val="2"/>
        <scheme val="minor"/>
      </font>
      <numFmt numFmtId="166" formatCode="[$-1010000]dd/mm;@"/>
    </dxf>
    <dxf>
      <font>
        <b val="0"/>
        <i val="0"/>
        <strike val="0"/>
        <condense val="0"/>
        <extend val="0"/>
        <outline val="0"/>
        <shadow val="0"/>
        <u val="none"/>
        <vertAlign val="baseline"/>
        <sz val="12"/>
        <color rgb="FF000000"/>
        <name val="Arial"/>
        <family val="2"/>
        <scheme val="minor"/>
      </font>
    </dxf>
    <dxf>
      <font>
        <b val="0"/>
        <i val="0"/>
        <strike val="0"/>
        <condense val="0"/>
        <extend val="0"/>
        <outline val="0"/>
        <shadow val="0"/>
        <u val="none"/>
        <vertAlign val="baseline"/>
        <sz val="12"/>
        <color rgb="FF000000"/>
        <name val="Arial"/>
        <family val="2"/>
        <scheme val="minor"/>
      </font>
      <border diagonalUp="0" diagonalDown="0">
        <left/>
        <right style="medium">
          <color indexed="64"/>
        </right>
        <top/>
        <bottom/>
        <vertical/>
        <horizontal/>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rgb="FF000000"/>
        <name val="Arial"/>
        <family val="2"/>
        <scheme val="minor"/>
      </font>
    </dxf>
    <dxf>
      <border outline="0">
        <bottom style="double">
          <color indexed="64"/>
        </bottom>
      </border>
    </dxf>
    <dxf>
      <font>
        <b val="0"/>
        <i val="0"/>
        <strike val="0"/>
        <condense val="0"/>
        <extend val="0"/>
        <outline val="0"/>
        <shadow val="0"/>
        <u val="none"/>
        <vertAlign val="baseline"/>
        <sz val="12"/>
        <color rgb="FF000000"/>
        <name val="Arial"/>
        <family val="2"/>
        <scheme val="minor"/>
      </font>
      <fill>
        <patternFill patternType="solid">
          <fgColor indexed="64"/>
          <bgColor theme="4" tint="0.59999389629810485"/>
        </patternFill>
      </fill>
      <alignment horizontal="general" vertical="bottom" textRotation="0" wrapText="0" indent="0" justifyLastLine="0" shrinkToFit="0" readingOrder="0"/>
      <border diagonalUp="0" diagonalDown="0" outline="0">
        <left style="medium">
          <color indexed="64"/>
        </left>
        <right style="medium">
          <color indexed="64"/>
        </right>
        <top/>
        <bottom/>
      </border>
    </dxf>
    <dxf>
      <fill>
        <patternFill>
          <bgColor theme="5" tint="0.79998168889431442"/>
        </patternFill>
      </fill>
    </dxf>
  </dxfs>
  <tableStyles count="0" defaultTableStyle="TableStyleMedium2" defaultPivotStyle="PivotStyleLight16"/>
  <colors>
    <mruColors>
      <color rgb="FFED7C2F"/>
      <color rgb="FFEB6E19"/>
      <color rgb="FFBE5812"/>
      <color rgb="FFF2A372"/>
      <color rgb="FFF6BE98"/>
      <color rgb="FFFAD6BE"/>
      <color rgb="FFEF6F9B"/>
      <color rgb="FFFFF6CA"/>
      <color rgb="FFFEC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customschemas.google.com/relationships/workbookmetadata" Target="metadata"/><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200" b="1" i="0" u="none" strike="noStrike" kern="1200" cap="all" baseline="0">
                <a:solidFill>
                  <a:schemeClr val="tx1"/>
                </a:solidFill>
                <a:latin typeface="Times New Roman" panose="02020603050405020304" pitchFamily="18" charset="0"/>
                <a:ea typeface="+mn-ea"/>
                <a:cs typeface="Times New Roman" panose="02020603050405020304" pitchFamily="18" charset="0"/>
              </a:defRPr>
            </a:pPr>
            <a:r>
              <a:rPr lang="en-US" sz="1200" b="1">
                <a:solidFill>
                  <a:schemeClr val="tx1"/>
                </a:solidFill>
                <a:latin typeface="Times New Roman" panose="02020603050405020304" pitchFamily="18" charset="0"/>
                <a:cs typeface="Times New Roman" panose="02020603050405020304" pitchFamily="18" charset="0"/>
              </a:rPr>
              <a:t>Daily </a:t>
            </a:r>
            <a:r>
              <a:rPr lang="en-US" sz="1200" b="1" baseline="0">
                <a:solidFill>
                  <a:schemeClr val="tx1"/>
                </a:solidFill>
                <a:latin typeface="Times New Roman" panose="02020603050405020304" pitchFamily="18" charset="0"/>
                <a:cs typeface="Times New Roman" panose="02020603050405020304" pitchFamily="18" charset="0"/>
              </a:rPr>
              <a:t>CaLO INTAKE </a:t>
            </a:r>
            <a:endParaRPr lang="vi-VN" sz="12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200" b="1" i="0" u="none" strike="noStrike" kern="1200" cap="all"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22619826796002396"/>
          <c:y val="0.15675563742771309"/>
          <c:w val="0.55792645322356171"/>
          <c:h val="0.73080615595581355"/>
        </c:manualLayout>
      </c:layout>
      <c:pieChart>
        <c:varyColors val="1"/>
        <c:ser>
          <c:idx val="0"/>
          <c:order val="0"/>
          <c:explosion val="4"/>
          <c:dPt>
            <c:idx val="0"/>
            <c:bubble3D val="0"/>
            <c:spPr>
              <a:solidFill>
                <a:schemeClr val="accent2">
                  <a:shade val="6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9D3-4DEE-AB73-764D048B68BF}"/>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99D3-4DEE-AB73-764D048B68BF}"/>
              </c:ext>
            </c:extLst>
          </c:dPt>
          <c:dPt>
            <c:idx val="2"/>
            <c:bubble3D val="0"/>
            <c:spPr>
              <a:solidFill>
                <a:schemeClr val="accent2">
                  <a:tint val="6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9D3-4DEE-AB73-764D048B68BF}"/>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99D3-4DEE-AB73-764D048B68BF}"/>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99D3-4DEE-AB73-764D048B68BF}"/>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99D3-4DEE-AB73-764D048B68B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('Đồ Mình Ăn'!$E$2,'Đồ Mình Ăn'!$F$2,'Đồ Mình Ăn'!$G$2)</c:f>
              <c:strCache>
                <c:ptCount val="3"/>
                <c:pt idx="0">
                  <c:v>Đạm</c:v>
                </c:pt>
                <c:pt idx="1">
                  <c:v>Bột</c:v>
                </c:pt>
                <c:pt idx="2">
                  <c:v>Mỡ</c:v>
                </c:pt>
              </c:strCache>
            </c:strRef>
          </c:cat>
          <c:val>
            <c:numRef>
              <c:f>('Đồ Mình Ăn'!$E$4,'Đồ Mình Ăn'!$F$4,'Đồ Mình Ăn'!$G$4)</c:f>
              <c:numCache>
                <c:formatCode>0</c:formatCode>
                <c:ptCount val="3"/>
                <c:pt idx="0">
                  <c:v>594.79999999999995</c:v>
                </c:pt>
                <c:pt idx="1">
                  <c:v>500.8</c:v>
                </c:pt>
                <c:pt idx="2">
                  <c:v>675</c:v>
                </c:pt>
              </c:numCache>
            </c:numRef>
          </c:val>
          <c:extLst>
            <c:ext xmlns:c16="http://schemas.microsoft.com/office/drawing/2014/chart" uri="{C3380CC4-5D6E-409C-BE32-E72D297353CC}">
              <c16:uniqueId val="{00000000-99D3-4DEE-AB73-764D048B68BF}"/>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200" b="1" i="0" u="none" strike="noStrike" kern="1200" cap="all" baseline="0">
                <a:solidFill>
                  <a:schemeClr val="tx1"/>
                </a:solidFill>
                <a:latin typeface="Times New Roman" panose="02020603050405020304" pitchFamily="18" charset="0"/>
                <a:ea typeface="+mn-ea"/>
                <a:cs typeface="Times New Roman" panose="02020603050405020304" pitchFamily="18" charset="0"/>
              </a:defRPr>
            </a:pPr>
            <a:r>
              <a:rPr lang="en-US" sz="1200">
                <a:solidFill>
                  <a:schemeClr val="tx1"/>
                </a:solidFill>
                <a:latin typeface="Times New Roman" panose="02020603050405020304" pitchFamily="18" charset="0"/>
                <a:cs typeface="Times New Roman" panose="02020603050405020304" pitchFamily="18" charset="0"/>
              </a:rPr>
              <a:t>Target</a:t>
            </a:r>
          </a:p>
        </c:rich>
      </c:tx>
      <c:layout>
        <c:manualLayout>
          <c:xMode val="edge"/>
          <c:yMode val="edge"/>
          <c:x val="0.44495285983658067"/>
          <c:y val="2.366201171815217E-2"/>
        </c:manualLayout>
      </c:layout>
      <c:overlay val="0"/>
      <c:spPr>
        <a:noFill/>
        <a:ln>
          <a:noFill/>
        </a:ln>
        <a:effectLst/>
      </c:spPr>
      <c:txPr>
        <a:bodyPr rot="0" spcFirstLastPara="1" vertOverflow="ellipsis" vert="horz" wrap="square" anchor="ctr" anchorCtr="1"/>
        <a:lstStyle/>
        <a:p>
          <a:pPr>
            <a:defRPr sz="1200" b="1" i="0" u="none" strike="noStrike" kern="1200" cap="all"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23317190516288044"/>
          <c:y val="0.17517836369030682"/>
          <c:w val="0.56718490326986937"/>
          <c:h val="0.76258538220004546"/>
        </c:manualLayout>
      </c:layout>
      <c:pieChart>
        <c:varyColors val="1"/>
        <c:ser>
          <c:idx val="0"/>
          <c:order val="0"/>
          <c:spPr>
            <a:effectLst>
              <a:outerShdw blurRad="63500" algn="ctr" rotWithShape="0">
                <a:prstClr val="black">
                  <a:alpha val="20000"/>
                </a:prstClr>
              </a:outerShdw>
            </a:effectLst>
          </c:spPr>
          <c:explosion val="5"/>
          <c:dPt>
            <c:idx val="0"/>
            <c:bubble3D val="0"/>
            <c:spPr>
              <a:solidFill>
                <a:schemeClr val="accent2">
                  <a:shade val="65000"/>
                </a:schemeClr>
              </a:solidFill>
              <a:ln>
                <a:noFill/>
              </a:ln>
              <a:effectLst>
                <a:outerShdw blurRad="63500" algn="ctr" rotWithShape="0">
                  <a:prstClr val="black">
                    <a:alpha val="20000"/>
                  </a:prstClr>
                </a:outerShdw>
              </a:effectLst>
            </c:spPr>
            <c:extLst>
              <c:ext xmlns:c16="http://schemas.microsoft.com/office/drawing/2014/chart" uri="{C3380CC4-5D6E-409C-BE32-E72D297353CC}">
                <c16:uniqueId val="{00000001-E0A0-4962-94BD-E9B50A72A94B}"/>
              </c:ext>
            </c:extLst>
          </c:dPt>
          <c:dPt>
            <c:idx val="1"/>
            <c:bubble3D val="0"/>
            <c:spPr>
              <a:solidFill>
                <a:schemeClr val="accent2"/>
              </a:solidFill>
              <a:ln>
                <a:noFill/>
              </a:ln>
              <a:effectLst>
                <a:outerShdw blurRad="63500" algn="ctr" rotWithShape="0">
                  <a:prstClr val="black">
                    <a:alpha val="20000"/>
                  </a:prstClr>
                </a:outerShdw>
              </a:effectLst>
            </c:spPr>
            <c:extLst>
              <c:ext xmlns:c16="http://schemas.microsoft.com/office/drawing/2014/chart" uri="{C3380CC4-5D6E-409C-BE32-E72D297353CC}">
                <c16:uniqueId val="{00000003-E0A0-4962-94BD-E9B50A72A94B}"/>
              </c:ext>
            </c:extLst>
          </c:dPt>
          <c:dPt>
            <c:idx val="2"/>
            <c:bubble3D val="0"/>
            <c:spPr>
              <a:solidFill>
                <a:schemeClr val="accent2">
                  <a:tint val="65000"/>
                </a:schemeClr>
              </a:solidFill>
              <a:ln>
                <a:noFill/>
              </a:ln>
              <a:effectLst>
                <a:outerShdw blurRad="63500" algn="ctr" rotWithShape="0">
                  <a:prstClr val="black">
                    <a:alpha val="20000"/>
                  </a:prstClr>
                </a:outerShdw>
              </a:effectLst>
            </c:spPr>
            <c:extLst>
              <c:ext xmlns:c16="http://schemas.microsoft.com/office/drawing/2014/chart" uri="{C3380CC4-5D6E-409C-BE32-E72D297353CC}">
                <c16:uniqueId val="{00000005-E0A0-4962-94BD-E9B50A72A94B}"/>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E0A0-4962-94BD-E9B50A72A94B}"/>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E0A0-4962-94BD-E9B50A72A94B}"/>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E0A0-4962-94BD-E9B50A72A94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('Đồ Mình Ăn'!$E$2,'Đồ Mình Ăn'!$F$2,'Đồ Mình Ăn'!$G$2)</c:f>
              <c:strCache>
                <c:ptCount val="3"/>
                <c:pt idx="0">
                  <c:v>Đạm</c:v>
                </c:pt>
                <c:pt idx="1">
                  <c:v>Bột</c:v>
                </c:pt>
                <c:pt idx="2">
                  <c:v>Mỡ</c:v>
                </c:pt>
              </c:strCache>
            </c:strRef>
          </c:cat>
          <c:val>
            <c:numRef>
              <c:f>'Đồ Mình Ăn'!$E$5:$G$5</c:f>
              <c:numCache>
                <c:formatCode>0</c:formatCode>
                <c:ptCount val="3"/>
                <c:pt idx="0">
                  <c:v>30</c:v>
                </c:pt>
                <c:pt idx="1">
                  <c:v>60</c:v>
                </c:pt>
                <c:pt idx="2">
                  <c:v>10</c:v>
                </c:pt>
              </c:numCache>
            </c:numRef>
          </c:val>
          <c:extLst>
            <c:ext xmlns:c16="http://schemas.microsoft.com/office/drawing/2014/chart" uri="{C3380CC4-5D6E-409C-BE32-E72D297353CC}">
              <c16:uniqueId val="{00000006-E0A0-4962-94BD-E9B50A72A94B}"/>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200" b="1" i="0" u="none" strike="noStrike" kern="1200" spc="100" baseline="0">
                <a:solidFill>
                  <a:schemeClr val="accent2">
                    <a:lumMod val="40000"/>
                    <a:lumOff val="60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1200" cap="all" baseline="0">
                <a:solidFill>
                  <a:schemeClr val="accent2">
                    <a:lumMod val="40000"/>
                    <a:lumOff val="60000"/>
                  </a:schemeClr>
                </a:solidFill>
              </a:rPr>
              <a:t>Calo intake và cân nặng</a:t>
            </a:r>
          </a:p>
          <a:p>
            <a:pPr>
              <a:defRPr sz="1200">
                <a:solidFill>
                  <a:schemeClr val="accent2">
                    <a:lumMod val="40000"/>
                    <a:lumOff val="60000"/>
                  </a:schemeClr>
                </a:solidFill>
              </a:defRPr>
            </a:pPr>
            <a:endParaRPr lang="en-US" sz="1200" cap="all" baseline="0">
              <a:solidFill>
                <a:schemeClr val="accent2">
                  <a:lumMod val="40000"/>
                  <a:lumOff val="60000"/>
                </a:schemeClr>
              </a:solidFill>
            </a:endParaRPr>
          </a:p>
        </c:rich>
      </c:tx>
      <c:layout>
        <c:manualLayout>
          <c:xMode val="edge"/>
          <c:yMode val="edge"/>
          <c:x val="0.33189971790085465"/>
          <c:y val="4.6913600647767929E-2"/>
        </c:manualLayout>
      </c:layout>
      <c:overlay val="0"/>
      <c:spPr>
        <a:noFill/>
        <a:ln>
          <a:noFill/>
        </a:ln>
        <a:effectLst/>
      </c:spPr>
      <c:txPr>
        <a:bodyPr rot="0" spcFirstLastPara="1" vertOverflow="ellipsis" vert="horz" wrap="square" anchor="ctr" anchorCtr="1"/>
        <a:lstStyle/>
        <a:p>
          <a:pPr>
            <a:defRPr sz="1200" b="1" i="0" u="none" strike="noStrike" kern="1200" spc="100" baseline="0">
              <a:solidFill>
                <a:schemeClr val="accent2">
                  <a:lumMod val="40000"/>
                  <a:lumOff val="60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lotArea>
      <c:layout/>
      <c:lineChart>
        <c:grouping val="standard"/>
        <c:varyColors val="0"/>
        <c:ser>
          <c:idx val="0"/>
          <c:order val="0"/>
          <c:tx>
            <c:strRef>
              <c:f>Sheet4!$F$3</c:f>
              <c:strCache>
                <c:ptCount val="1"/>
                <c:pt idx="0">
                  <c:v>Calo Intake</c:v>
                </c:pt>
              </c:strCache>
            </c:strRef>
          </c:tx>
          <c:spPr>
            <a:ln w="34925" cap="rnd">
              <a:solidFill>
                <a:schemeClr val="accent2">
                  <a:shade val="76000"/>
                </a:schemeClr>
              </a:solidFill>
              <a:round/>
            </a:ln>
            <a:effectLst>
              <a:outerShdw sx="1000" sy="1000" algn="ctr" rotWithShape="0">
                <a:srgbClr val="000000"/>
              </a:outerShdw>
            </a:effectLst>
          </c:spPr>
          <c:marker>
            <c:symbol val="none"/>
          </c:marker>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Sheet4!$F$4:$F$369</c:f>
              <c:numCache>
                <c:formatCode>General</c:formatCode>
                <c:ptCount val="29"/>
                <c:pt idx="0">
                  <c:v>2175</c:v>
                </c:pt>
                <c:pt idx="1">
                  <c:v>2749</c:v>
                </c:pt>
                <c:pt idx="2">
                  <c:v>2457</c:v>
                </c:pt>
                <c:pt idx="3">
                  <c:v>2271</c:v>
                </c:pt>
                <c:pt idx="4">
                  <c:v>2122</c:v>
                </c:pt>
                <c:pt idx="5">
                  <c:v>2524</c:v>
                </c:pt>
                <c:pt idx="6">
                  <c:v>2004</c:v>
                </c:pt>
                <c:pt idx="7">
                  <c:v>2459</c:v>
                </c:pt>
                <c:pt idx="8">
                  <c:v>2540</c:v>
                </c:pt>
                <c:pt idx="9">
                  <c:v>2841</c:v>
                </c:pt>
                <c:pt idx="10">
                  <c:v>2873</c:v>
                </c:pt>
                <c:pt idx="11">
                  <c:v>2574</c:v>
                </c:pt>
                <c:pt idx="12">
                  <c:v>2428</c:v>
                </c:pt>
                <c:pt idx="13">
                  <c:v>2763</c:v>
                </c:pt>
                <c:pt idx="14">
                  <c:v>2884</c:v>
                </c:pt>
                <c:pt idx="15">
                  <c:v>2837</c:v>
                </c:pt>
                <c:pt idx="16">
                  <c:v>2265</c:v>
                </c:pt>
                <c:pt idx="17">
                  <c:v>2120</c:v>
                </c:pt>
                <c:pt idx="18">
                  <c:v>2231</c:v>
                </c:pt>
                <c:pt idx="19">
                  <c:v>2603</c:v>
                </c:pt>
                <c:pt idx="20">
                  <c:v>2817</c:v>
                </c:pt>
                <c:pt idx="21">
                  <c:v>2615</c:v>
                </c:pt>
                <c:pt idx="22">
                  <c:v>2782</c:v>
                </c:pt>
                <c:pt idx="23">
                  <c:v>2868</c:v>
                </c:pt>
                <c:pt idx="24">
                  <c:v>2143</c:v>
                </c:pt>
                <c:pt idx="25">
                  <c:v>2619</c:v>
                </c:pt>
                <c:pt idx="26">
                  <c:v>2943</c:v>
                </c:pt>
                <c:pt idx="27">
                  <c:v>2972</c:v>
                </c:pt>
              </c:numCache>
            </c:numRef>
          </c:val>
          <c:smooth val="0"/>
          <c:extLst>
            <c:ext xmlns:c16="http://schemas.microsoft.com/office/drawing/2014/chart" uri="{C3380CC4-5D6E-409C-BE32-E72D297353CC}">
              <c16:uniqueId val="{00000000-43C1-4123-AFD6-63E4BAF7FF48}"/>
            </c:ext>
          </c:extLst>
        </c:ser>
        <c:dLbls>
          <c:showLegendKey val="0"/>
          <c:showVal val="0"/>
          <c:showCatName val="0"/>
          <c:showSerName val="0"/>
          <c:showPercent val="0"/>
          <c:showBubbleSize val="0"/>
        </c:dLbls>
        <c:marker val="1"/>
        <c:smooth val="0"/>
        <c:axId val="2018538095"/>
        <c:axId val="2018540975"/>
      </c:lineChart>
      <c:lineChart>
        <c:grouping val="standard"/>
        <c:varyColors val="0"/>
        <c:ser>
          <c:idx val="1"/>
          <c:order val="1"/>
          <c:tx>
            <c:strRef>
              <c:f>Sheet4!$G$3</c:f>
              <c:strCache>
                <c:ptCount val="1"/>
                <c:pt idx="0">
                  <c:v>Cân Nặng</c:v>
                </c:pt>
              </c:strCache>
            </c:strRef>
          </c:tx>
          <c:spPr>
            <a:ln w="34925" cap="rnd">
              <a:solidFill>
                <a:schemeClr val="accent2">
                  <a:tint val="77000"/>
                </a:schemeClr>
              </a:solidFill>
              <a:round/>
            </a:ln>
            <a:effectLst>
              <a:outerShdw sx="1000" sy="1000" algn="ctr" rotWithShape="0">
                <a:srgbClr val="000000"/>
              </a:outerShdw>
            </a:effectLst>
          </c:spPr>
          <c:marker>
            <c:symbol val="none"/>
          </c:marker>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Sheet4!$G$4:$G$369</c:f>
              <c:numCache>
                <c:formatCode>General</c:formatCode>
                <c:ptCount val="29"/>
                <c:pt idx="0">
                  <c:v>72</c:v>
                </c:pt>
                <c:pt idx="1">
                  <c:v>79</c:v>
                </c:pt>
                <c:pt idx="2">
                  <c:v>62</c:v>
                </c:pt>
                <c:pt idx="3">
                  <c:v>63</c:v>
                </c:pt>
                <c:pt idx="4">
                  <c:v>63</c:v>
                </c:pt>
                <c:pt idx="5">
                  <c:v>65</c:v>
                </c:pt>
                <c:pt idx="6">
                  <c:v>80</c:v>
                </c:pt>
                <c:pt idx="7">
                  <c:v>80</c:v>
                </c:pt>
                <c:pt idx="8">
                  <c:v>65</c:v>
                </c:pt>
                <c:pt idx="9">
                  <c:v>69</c:v>
                </c:pt>
                <c:pt idx="10">
                  <c:v>66</c:v>
                </c:pt>
                <c:pt idx="11">
                  <c:v>68</c:v>
                </c:pt>
                <c:pt idx="12">
                  <c:v>74</c:v>
                </c:pt>
                <c:pt idx="13">
                  <c:v>77</c:v>
                </c:pt>
                <c:pt idx="14">
                  <c:v>62</c:v>
                </c:pt>
                <c:pt idx="15">
                  <c:v>72</c:v>
                </c:pt>
                <c:pt idx="16">
                  <c:v>62</c:v>
                </c:pt>
                <c:pt idx="17">
                  <c:v>75</c:v>
                </c:pt>
                <c:pt idx="18">
                  <c:v>76</c:v>
                </c:pt>
                <c:pt idx="19">
                  <c:v>79</c:v>
                </c:pt>
                <c:pt idx="20">
                  <c:v>72</c:v>
                </c:pt>
                <c:pt idx="21">
                  <c:v>68</c:v>
                </c:pt>
                <c:pt idx="22">
                  <c:v>70</c:v>
                </c:pt>
                <c:pt idx="23">
                  <c:v>80</c:v>
                </c:pt>
                <c:pt idx="24">
                  <c:v>63</c:v>
                </c:pt>
                <c:pt idx="25">
                  <c:v>75</c:v>
                </c:pt>
                <c:pt idx="26">
                  <c:v>63</c:v>
                </c:pt>
                <c:pt idx="27">
                  <c:v>77</c:v>
                </c:pt>
              </c:numCache>
            </c:numRef>
          </c:val>
          <c:smooth val="0"/>
          <c:extLst>
            <c:ext xmlns:c16="http://schemas.microsoft.com/office/drawing/2014/chart" uri="{C3380CC4-5D6E-409C-BE32-E72D297353CC}">
              <c16:uniqueId val="{00000001-43C1-4123-AFD6-63E4BAF7FF48}"/>
            </c:ext>
          </c:extLst>
        </c:ser>
        <c:dLbls>
          <c:showLegendKey val="0"/>
          <c:showVal val="0"/>
          <c:showCatName val="0"/>
          <c:showSerName val="0"/>
          <c:showPercent val="0"/>
          <c:showBubbleSize val="0"/>
        </c:dLbls>
        <c:marker val="1"/>
        <c:smooth val="0"/>
        <c:axId val="1868550735"/>
        <c:axId val="1873230831"/>
      </c:lineChart>
      <c:dateAx>
        <c:axId val="2018538095"/>
        <c:scaling>
          <c:orientation val="minMax"/>
        </c:scaling>
        <c:delete val="1"/>
        <c:axPos val="b"/>
        <c:numFmt formatCode="[$-1010000]dd/mm;@" sourceLinked="1"/>
        <c:majorTickMark val="out"/>
        <c:minorTickMark val="none"/>
        <c:tickLblPos val="nextTo"/>
        <c:crossAx val="2018540975"/>
        <c:crosses val="autoZero"/>
        <c:auto val="1"/>
        <c:lblOffset val="100"/>
        <c:baseTimeUnit val="days"/>
        <c:majorUnit val="2"/>
        <c:majorTimeUnit val="days"/>
      </c:dateAx>
      <c:valAx>
        <c:axId val="2018540975"/>
        <c:scaling>
          <c:orientation val="minMax"/>
          <c:min val="18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crossAx val="2018538095"/>
        <c:crosses val="autoZero"/>
        <c:crossBetween val="between"/>
      </c:valAx>
      <c:valAx>
        <c:axId val="1873230831"/>
        <c:scaling>
          <c:orientation val="minMax"/>
          <c:min val="40"/>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crossAx val="1868550735"/>
        <c:crosses val="max"/>
        <c:crossBetween val="between"/>
      </c:valAx>
      <c:dateAx>
        <c:axId val="1868550735"/>
        <c:scaling>
          <c:orientation val="minMax"/>
        </c:scaling>
        <c:delete val="1"/>
        <c:axPos val="b"/>
        <c:numFmt formatCode="[$-1010000]dd/mm;@" sourceLinked="1"/>
        <c:majorTickMark val="out"/>
        <c:minorTickMark val="none"/>
        <c:tickLblPos val="nextTo"/>
        <c:crossAx val="1873230831"/>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cap="none"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r>
              <a:rPr lang="en-US" sz="1200" cap="all" baseline="0">
                <a:solidFill>
                  <a:schemeClr val="accent2">
                    <a:lumMod val="40000"/>
                    <a:lumOff val="60000"/>
                  </a:schemeClr>
                </a:solidFill>
              </a:rPr>
              <a:t>Calo intake và calo intake trung bình</a:t>
            </a:r>
          </a:p>
        </c:rich>
      </c:tx>
      <c:layout>
        <c:manualLayout>
          <c:xMode val="edge"/>
          <c:yMode val="edge"/>
          <c:x val="0.17758836125912811"/>
          <c:y val="3.802281368821292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7.7035315830854642E-2"/>
          <c:y val="0.14752851711026616"/>
          <c:w val="0.89661212044385485"/>
          <c:h val="0.72750815843837013"/>
        </c:manualLayout>
      </c:layout>
      <c:lineChart>
        <c:grouping val="standard"/>
        <c:varyColors val="0"/>
        <c:ser>
          <c:idx val="0"/>
          <c:order val="0"/>
          <c:tx>
            <c:strRef>
              <c:f>Sheet4!$F$3</c:f>
              <c:strCache>
                <c:ptCount val="1"/>
                <c:pt idx="0">
                  <c:v>Calo Intake</c:v>
                </c:pt>
              </c:strCache>
            </c:strRef>
          </c:tx>
          <c:spPr>
            <a:ln w="22225" cap="rnd">
              <a:solidFill>
                <a:schemeClr val="accent2">
                  <a:shade val="76000"/>
                </a:schemeClr>
              </a:solidFill>
            </a:ln>
            <a:effectLst>
              <a:glow rad="139700">
                <a:schemeClr val="accent2">
                  <a:shade val="76000"/>
                  <a:satMod val="175000"/>
                  <a:alpha val="14000"/>
                </a:schemeClr>
              </a:glow>
            </a:effectLst>
          </c:spPr>
          <c:marker>
            <c:symbol val="none"/>
          </c:marker>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Sheet4!$F$4:$F$369</c:f>
              <c:numCache>
                <c:formatCode>General</c:formatCode>
                <c:ptCount val="29"/>
                <c:pt idx="0">
                  <c:v>2175</c:v>
                </c:pt>
                <c:pt idx="1">
                  <c:v>2749</c:v>
                </c:pt>
                <c:pt idx="2">
                  <c:v>2457</c:v>
                </c:pt>
                <c:pt idx="3">
                  <c:v>2271</c:v>
                </c:pt>
                <c:pt idx="4">
                  <c:v>2122</c:v>
                </c:pt>
                <c:pt idx="5">
                  <c:v>2524</c:v>
                </c:pt>
                <c:pt idx="6">
                  <c:v>2004</c:v>
                </c:pt>
                <c:pt idx="7">
                  <c:v>2459</c:v>
                </c:pt>
                <c:pt idx="8">
                  <c:v>2540</c:v>
                </c:pt>
                <c:pt idx="9">
                  <c:v>2841</c:v>
                </c:pt>
                <c:pt idx="10">
                  <c:v>2873</c:v>
                </c:pt>
                <c:pt idx="11">
                  <c:v>2574</c:v>
                </c:pt>
                <c:pt idx="12">
                  <c:v>2428</c:v>
                </c:pt>
                <c:pt idx="13">
                  <c:v>2763</c:v>
                </c:pt>
                <c:pt idx="14">
                  <c:v>2884</c:v>
                </c:pt>
                <c:pt idx="15">
                  <c:v>2837</c:v>
                </c:pt>
                <c:pt idx="16">
                  <c:v>2265</c:v>
                </c:pt>
                <c:pt idx="17">
                  <c:v>2120</c:v>
                </c:pt>
                <c:pt idx="18">
                  <c:v>2231</c:v>
                </c:pt>
                <c:pt idx="19">
                  <c:v>2603</c:v>
                </c:pt>
                <c:pt idx="20">
                  <c:v>2817</c:v>
                </c:pt>
                <c:pt idx="21">
                  <c:v>2615</c:v>
                </c:pt>
                <c:pt idx="22">
                  <c:v>2782</c:v>
                </c:pt>
                <c:pt idx="23">
                  <c:v>2868</c:v>
                </c:pt>
                <c:pt idx="24">
                  <c:v>2143</c:v>
                </c:pt>
                <c:pt idx="25">
                  <c:v>2619</c:v>
                </c:pt>
                <c:pt idx="26">
                  <c:v>2943</c:v>
                </c:pt>
                <c:pt idx="27">
                  <c:v>2972</c:v>
                </c:pt>
              </c:numCache>
            </c:numRef>
          </c:val>
          <c:smooth val="0"/>
          <c:extLst>
            <c:ext xmlns:c16="http://schemas.microsoft.com/office/drawing/2014/chart" uri="{C3380CC4-5D6E-409C-BE32-E72D297353CC}">
              <c16:uniqueId val="{00000000-ED7D-4B05-BB9F-A5910246CC66}"/>
            </c:ext>
          </c:extLst>
        </c:ser>
        <c:ser>
          <c:idx val="1"/>
          <c:order val="1"/>
          <c:tx>
            <c:strRef>
              <c:f>Sheet4!$H$3</c:f>
              <c:strCache>
                <c:ptCount val="1"/>
                <c:pt idx="0">
                  <c:v>Calo Intake Trung Bình</c:v>
                </c:pt>
              </c:strCache>
            </c:strRef>
          </c:tx>
          <c:spPr>
            <a:ln w="22225" cap="rnd">
              <a:solidFill>
                <a:schemeClr val="accent2">
                  <a:tint val="77000"/>
                </a:schemeClr>
              </a:solidFill>
            </a:ln>
            <a:effectLst>
              <a:glow rad="139700">
                <a:schemeClr val="accent2">
                  <a:tint val="77000"/>
                  <a:satMod val="175000"/>
                  <a:alpha val="14000"/>
                </a:schemeClr>
              </a:glow>
            </a:effectLst>
          </c:spPr>
          <c:marker>
            <c:symbol val="none"/>
          </c:marker>
          <c:dPt>
            <c:idx val="13"/>
            <c:marker>
              <c:symbol val="none"/>
            </c:marker>
            <c:bubble3D val="0"/>
            <c:spPr>
              <a:ln w="22225" cap="rnd">
                <a:solidFill>
                  <a:schemeClr val="accent2">
                    <a:tint val="77000"/>
                  </a:schemeClr>
                </a:solidFill>
              </a:ln>
              <a:effectLst>
                <a:glow rad="139700">
                  <a:schemeClr val="accent2">
                    <a:tint val="77000"/>
                    <a:satMod val="175000"/>
                    <a:alpha val="14000"/>
                  </a:schemeClr>
                </a:glow>
              </a:effectLst>
            </c:spPr>
            <c:extLst>
              <c:ext xmlns:c16="http://schemas.microsoft.com/office/drawing/2014/chart" uri="{C3380CC4-5D6E-409C-BE32-E72D297353CC}">
                <c16:uniqueId val="{00000000-71E5-4B38-A74F-ECF751BD1F0D}"/>
              </c:ext>
            </c:extLst>
          </c:dPt>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Sheet4!$H$4:$H$369</c:f>
              <c:numCache>
                <c:formatCode>0.0</c:formatCode>
                <c:ptCount val="29"/>
                <c:pt idx="0">
                  <c:v>2552.8214285714284</c:v>
                </c:pt>
                <c:pt idx="1">
                  <c:v>2552.8214285714284</c:v>
                </c:pt>
                <c:pt idx="2">
                  <c:v>2552.8214285714284</c:v>
                </c:pt>
                <c:pt idx="3">
                  <c:v>2552.8214285714284</c:v>
                </c:pt>
                <c:pt idx="4">
                  <c:v>2552.8214285714284</c:v>
                </c:pt>
                <c:pt idx="5">
                  <c:v>2552.8214285714284</c:v>
                </c:pt>
                <c:pt idx="6">
                  <c:v>2552.8214285714284</c:v>
                </c:pt>
                <c:pt idx="7">
                  <c:v>2552.8214285714284</c:v>
                </c:pt>
                <c:pt idx="8">
                  <c:v>2552.8214285714284</c:v>
                </c:pt>
                <c:pt idx="9">
                  <c:v>2552.8214285714284</c:v>
                </c:pt>
                <c:pt idx="10">
                  <c:v>2552.8214285714284</c:v>
                </c:pt>
                <c:pt idx="11">
                  <c:v>2552.8214285714284</c:v>
                </c:pt>
                <c:pt idx="12">
                  <c:v>2552.8214285714284</c:v>
                </c:pt>
                <c:pt idx="13">
                  <c:v>2552.8214285714284</c:v>
                </c:pt>
                <c:pt idx="14">
                  <c:v>2552.8214285714284</c:v>
                </c:pt>
                <c:pt idx="15">
                  <c:v>2552.8214285714284</c:v>
                </c:pt>
                <c:pt idx="16">
                  <c:v>2552.8214285714284</c:v>
                </c:pt>
                <c:pt idx="17">
                  <c:v>2552.8214285714284</c:v>
                </c:pt>
                <c:pt idx="18">
                  <c:v>2552.8214285714284</c:v>
                </c:pt>
                <c:pt idx="19">
                  <c:v>2552.8214285714284</c:v>
                </c:pt>
                <c:pt idx="20">
                  <c:v>2552.8214285714284</c:v>
                </c:pt>
                <c:pt idx="21">
                  <c:v>2552.8214285714284</c:v>
                </c:pt>
                <c:pt idx="22">
                  <c:v>2552.8214285714284</c:v>
                </c:pt>
                <c:pt idx="23">
                  <c:v>2552.8214285714284</c:v>
                </c:pt>
                <c:pt idx="24">
                  <c:v>2552.8214285714284</c:v>
                </c:pt>
                <c:pt idx="25">
                  <c:v>2552.8214285714284</c:v>
                </c:pt>
                <c:pt idx="26">
                  <c:v>2552.8214285714284</c:v>
                </c:pt>
                <c:pt idx="27">
                  <c:v>2552.8214285714284</c:v>
                </c:pt>
              </c:numCache>
            </c:numRef>
          </c:val>
          <c:smooth val="0"/>
          <c:extLst>
            <c:ext xmlns:c16="http://schemas.microsoft.com/office/drawing/2014/chart" uri="{C3380CC4-5D6E-409C-BE32-E72D297353CC}">
              <c16:uniqueId val="{00000001-ED7D-4B05-BB9F-A5910246CC66}"/>
            </c:ext>
          </c:extLst>
        </c:ser>
        <c:dLbls>
          <c:showLegendKey val="0"/>
          <c:showVal val="0"/>
          <c:showCatName val="0"/>
          <c:showSerName val="0"/>
          <c:showPercent val="0"/>
          <c:showBubbleSize val="0"/>
        </c:dLbls>
        <c:smooth val="0"/>
        <c:axId val="626385536"/>
        <c:axId val="626385056"/>
      </c:lineChart>
      <c:dateAx>
        <c:axId val="626385536"/>
        <c:scaling>
          <c:orientation val="minMax"/>
        </c:scaling>
        <c:delete val="1"/>
        <c:axPos val="b"/>
        <c:numFmt formatCode="[$-1010000]dd/mm;@" sourceLinked="1"/>
        <c:majorTickMark val="out"/>
        <c:minorTickMark val="none"/>
        <c:tickLblPos val="nextTo"/>
        <c:crossAx val="626385056"/>
        <c:crosses val="autoZero"/>
        <c:auto val="1"/>
        <c:lblOffset val="100"/>
        <c:baseTimeUnit val="days"/>
        <c:majorUnit val="2"/>
        <c:majorTimeUnit val="days"/>
      </c:dateAx>
      <c:valAx>
        <c:axId val="626385056"/>
        <c:scaling>
          <c:orientation val="minMax"/>
          <c:min val="160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Times New Roman" panose="02020603050405020304" pitchFamily="18" charset="0"/>
                <a:ea typeface="+mn-ea"/>
                <a:cs typeface="Times New Roman" panose="02020603050405020304" pitchFamily="18" charset="0"/>
              </a:defRPr>
            </a:pPr>
            <a:endParaRPr lang="en-US"/>
          </a:p>
        </c:txPr>
        <c:crossAx val="62638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200" b="1" i="0" u="none" strike="noStrike" kern="1200" cap="none"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r>
              <a:rPr lang="en-US" sz="1200" cap="all" baseline="0">
                <a:solidFill>
                  <a:schemeClr val="accent2">
                    <a:lumMod val="40000"/>
                    <a:lumOff val="60000"/>
                  </a:schemeClr>
                </a:solidFill>
              </a:rPr>
              <a:t>Cân nặng và cân nặng trung bình</a:t>
            </a:r>
          </a:p>
        </c:rich>
      </c:tx>
      <c:layout>
        <c:manualLayout>
          <c:xMode val="edge"/>
          <c:yMode val="edge"/>
          <c:x val="0.23867825173626078"/>
          <c:y val="3.444975038247361E-2"/>
        </c:manualLayout>
      </c:layout>
      <c:overlay val="0"/>
      <c:spPr>
        <a:noFill/>
        <a:ln>
          <a:noFill/>
        </a:ln>
        <a:effectLst/>
      </c:spPr>
      <c:txPr>
        <a:bodyPr rot="0" spcFirstLastPara="1" vertOverflow="ellipsis" vert="horz" wrap="square" anchor="ctr" anchorCtr="1"/>
        <a:lstStyle/>
        <a:p>
          <a:pPr>
            <a:defRPr sz="1200" b="1" i="0" u="none" strike="noStrike" kern="1200" cap="none"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5.54741377928092E-2"/>
          <c:y val="0.16765545186137154"/>
          <c:w val="0.91817329351083554"/>
          <c:h val="0.70654418670257724"/>
        </c:manualLayout>
      </c:layout>
      <c:lineChart>
        <c:grouping val="standard"/>
        <c:varyColors val="0"/>
        <c:ser>
          <c:idx val="0"/>
          <c:order val="0"/>
          <c:tx>
            <c:strRef>
              <c:f>Sheet4!$G$3</c:f>
              <c:strCache>
                <c:ptCount val="1"/>
                <c:pt idx="0">
                  <c:v>Cân Nặng</c:v>
                </c:pt>
              </c:strCache>
            </c:strRef>
          </c:tx>
          <c:spPr>
            <a:ln w="22225" cap="rnd">
              <a:solidFill>
                <a:schemeClr val="accent2">
                  <a:shade val="76000"/>
                </a:schemeClr>
              </a:solidFill>
            </a:ln>
            <a:effectLst>
              <a:glow rad="139700">
                <a:schemeClr val="accent2">
                  <a:shade val="76000"/>
                  <a:satMod val="175000"/>
                  <a:alpha val="14000"/>
                </a:schemeClr>
              </a:glow>
            </a:effectLst>
          </c:spPr>
          <c:marker>
            <c:symbol val="none"/>
          </c:marker>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Sheet4!$G$4:$G$369</c:f>
              <c:numCache>
                <c:formatCode>General</c:formatCode>
                <c:ptCount val="29"/>
                <c:pt idx="0">
                  <c:v>72</c:v>
                </c:pt>
                <c:pt idx="1">
                  <c:v>79</c:v>
                </c:pt>
                <c:pt idx="2">
                  <c:v>62</c:v>
                </c:pt>
                <c:pt idx="3">
                  <c:v>63</c:v>
                </c:pt>
                <c:pt idx="4">
                  <c:v>63</c:v>
                </c:pt>
                <c:pt idx="5">
                  <c:v>65</c:v>
                </c:pt>
                <c:pt idx="6">
                  <c:v>80</c:v>
                </c:pt>
                <c:pt idx="7">
                  <c:v>80</c:v>
                </c:pt>
                <c:pt idx="8">
                  <c:v>65</c:v>
                </c:pt>
                <c:pt idx="9">
                  <c:v>69</c:v>
                </c:pt>
                <c:pt idx="10">
                  <c:v>66</c:v>
                </c:pt>
                <c:pt idx="11">
                  <c:v>68</c:v>
                </c:pt>
                <c:pt idx="12">
                  <c:v>74</c:v>
                </c:pt>
                <c:pt idx="13">
                  <c:v>77</c:v>
                </c:pt>
                <c:pt idx="14">
                  <c:v>62</c:v>
                </c:pt>
                <c:pt idx="15">
                  <c:v>72</c:v>
                </c:pt>
                <c:pt idx="16">
                  <c:v>62</c:v>
                </c:pt>
                <c:pt idx="17">
                  <c:v>75</c:v>
                </c:pt>
                <c:pt idx="18">
                  <c:v>76</c:v>
                </c:pt>
                <c:pt idx="19">
                  <c:v>79</c:v>
                </c:pt>
                <c:pt idx="20">
                  <c:v>72</c:v>
                </c:pt>
                <c:pt idx="21">
                  <c:v>68</c:v>
                </c:pt>
                <c:pt idx="22">
                  <c:v>70</c:v>
                </c:pt>
                <c:pt idx="23">
                  <c:v>80</c:v>
                </c:pt>
                <c:pt idx="24">
                  <c:v>63</c:v>
                </c:pt>
                <c:pt idx="25">
                  <c:v>75</c:v>
                </c:pt>
                <c:pt idx="26">
                  <c:v>63</c:v>
                </c:pt>
                <c:pt idx="27">
                  <c:v>77</c:v>
                </c:pt>
              </c:numCache>
            </c:numRef>
          </c:val>
          <c:smooth val="0"/>
          <c:extLst>
            <c:ext xmlns:c16="http://schemas.microsoft.com/office/drawing/2014/chart" uri="{C3380CC4-5D6E-409C-BE32-E72D297353CC}">
              <c16:uniqueId val="{00000000-1974-43ED-B56F-AFB6A359C207}"/>
            </c:ext>
          </c:extLst>
        </c:ser>
        <c:ser>
          <c:idx val="1"/>
          <c:order val="1"/>
          <c:tx>
            <c:strRef>
              <c:f>Sheet4!$I$3</c:f>
              <c:strCache>
                <c:ptCount val="1"/>
                <c:pt idx="0">
                  <c:v>Cân Nặng Trung Bình</c:v>
                </c:pt>
              </c:strCache>
            </c:strRef>
          </c:tx>
          <c:spPr>
            <a:ln w="22225" cap="rnd">
              <a:solidFill>
                <a:schemeClr val="accent2">
                  <a:tint val="77000"/>
                </a:schemeClr>
              </a:solidFill>
            </a:ln>
            <a:effectLst>
              <a:glow rad="139700">
                <a:schemeClr val="accent2">
                  <a:tint val="77000"/>
                  <a:satMod val="175000"/>
                  <a:alpha val="14000"/>
                </a:schemeClr>
              </a:glow>
            </a:effectLst>
          </c:spPr>
          <c:marker>
            <c:symbol val="none"/>
          </c:marker>
          <c:cat>
            <c:numRef>
              <c:f>Sheet4!$E$4:$E$369</c:f>
              <c:numCache>
                <c:formatCode>[$-1010000]dd/mm;@</c:formatCode>
                <c:ptCount val="29"/>
                <c:pt idx="0">
                  <c:v>44958</c:v>
                </c:pt>
                <c:pt idx="1">
                  <c:v>44959</c:v>
                </c:pt>
                <c:pt idx="2">
                  <c:v>44960</c:v>
                </c:pt>
                <c:pt idx="3">
                  <c:v>44961</c:v>
                </c:pt>
                <c:pt idx="4">
                  <c:v>44962</c:v>
                </c:pt>
                <c:pt idx="5">
                  <c:v>44963</c:v>
                </c:pt>
                <c:pt idx="6">
                  <c:v>44964</c:v>
                </c:pt>
                <c:pt idx="7">
                  <c:v>44965</c:v>
                </c:pt>
                <c:pt idx="8">
                  <c:v>44966</c:v>
                </c:pt>
                <c:pt idx="9">
                  <c:v>44967</c:v>
                </c:pt>
                <c:pt idx="10">
                  <c:v>44968</c:v>
                </c:pt>
                <c:pt idx="11">
                  <c:v>44969</c:v>
                </c:pt>
                <c:pt idx="12">
                  <c:v>44970</c:v>
                </c:pt>
                <c:pt idx="13">
                  <c:v>44971</c:v>
                </c:pt>
                <c:pt idx="14">
                  <c:v>44972</c:v>
                </c:pt>
                <c:pt idx="15">
                  <c:v>44973</c:v>
                </c:pt>
                <c:pt idx="16">
                  <c:v>44974</c:v>
                </c:pt>
                <c:pt idx="17">
                  <c:v>44975</c:v>
                </c:pt>
                <c:pt idx="18">
                  <c:v>44976</c:v>
                </c:pt>
                <c:pt idx="19">
                  <c:v>44977</c:v>
                </c:pt>
                <c:pt idx="20">
                  <c:v>44978</c:v>
                </c:pt>
                <c:pt idx="21">
                  <c:v>44979</c:v>
                </c:pt>
                <c:pt idx="22">
                  <c:v>44980</c:v>
                </c:pt>
                <c:pt idx="23">
                  <c:v>44981</c:v>
                </c:pt>
                <c:pt idx="24">
                  <c:v>44982</c:v>
                </c:pt>
                <c:pt idx="25">
                  <c:v>44983</c:v>
                </c:pt>
                <c:pt idx="26">
                  <c:v>44984</c:v>
                </c:pt>
                <c:pt idx="27">
                  <c:v>44985</c:v>
                </c:pt>
              </c:numCache>
            </c:numRef>
          </c:cat>
          <c:val>
            <c:numRef>
              <c:f>Sheet4!$I$4:$I$369</c:f>
              <c:numCache>
                <c:formatCode>0.0</c:formatCode>
                <c:ptCount val="29"/>
                <c:pt idx="0">
                  <c:v>70.607142857142861</c:v>
                </c:pt>
                <c:pt idx="1">
                  <c:v>70.607142857142861</c:v>
                </c:pt>
                <c:pt idx="2">
                  <c:v>70.607142857142861</c:v>
                </c:pt>
                <c:pt idx="3">
                  <c:v>70.607142857142861</c:v>
                </c:pt>
                <c:pt idx="4">
                  <c:v>70.607142857142861</c:v>
                </c:pt>
                <c:pt idx="5">
                  <c:v>70.607142857142861</c:v>
                </c:pt>
                <c:pt idx="6">
                  <c:v>70.607142857142861</c:v>
                </c:pt>
                <c:pt idx="7">
                  <c:v>70.607142857142861</c:v>
                </c:pt>
                <c:pt idx="8">
                  <c:v>70.607142857142861</c:v>
                </c:pt>
                <c:pt idx="9">
                  <c:v>70.607142857142861</c:v>
                </c:pt>
                <c:pt idx="10">
                  <c:v>70.607142857142861</c:v>
                </c:pt>
                <c:pt idx="11">
                  <c:v>70.607142857142861</c:v>
                </c:pt>
                <c:pt idx="12">
                  <c:v>70.607142857142861</c:v>
                </c:pt>
                <c:pt idx="13">
                  <c:v>70.607142857142861</c:v>
                </c:pt>
                <c:pt idx="14">
                  <c:v>70.607142857142861</c:v>
                </c:pt>
                <c:pt idx="15">
                  <c:v>70.607142857142861</c:v>
                </c:pt>
                <c:pt idx="16">
                  <c:v>70.607142857142861</c:v>
                </c:pt>
                <c:pt idx="17">
                  <c:v>70.607142857142861</c:v>
                </c:pt>
                <c:pt idx="18">
                  <c:v>70.607142857142861</c:v>
                </c:pt>
                <c:pt idx="19">
                  <c:v>70.607142857142861</c:v>
                </c:pt>
                <c:pt idx="20">
                  <c:v>70.607142857142861</c:v>
                </c:pt>
                <c:pt idx="21">
                  <c:v>70.607142857142861</c:v>
                </c:pt>
                <c:pt idx="22">
                  <c:v>70.607142857142861</c:v>
                </c:pt>
                <c:pt idx="23">
                  <c:v>70.607142857142861</c:v>
                </c:pt>
                <c:pt idx="24">
                  <c:v>70.607142857142861</c:v>
                </c:pt>
                <c:pt idx="25">
                  <c:v>70.607142857142861</c:v>
                </c:pt>
                <c:pt idx="26">
                  <c:v>70.607142857142861</c:v>
                </c:pt>
                <c:pt idx="27">
                  <c:v>70.607142857142861</c:v>
                </c:pt>
              </c:numCache>
            </c:numRef>
          </c:val>
          <c:smooth val="0"/>
          <c:extLst>
            <c:ext xmlns:c16="http://schemas.microsoft.com/office/drawing/2014/chart" uri="{C3380CC4-5D6E-409C-BE32-E72D297353CC}">
              <c16:uniqueId val="{00000001-1974-43ED-B56F-AFB6A359C207}"/>
            </c:ext>
          </c:extLst>
        </c:ser>
        <c:dLbls>
          <c:showLegendKey val="0"/>
          <c:showVal val="0"/>
          <c:showCatName val="0"/>
          <c:showSerName val="0"/>
          <c:showPercent val="0"/>
          <c:showBubbleSize val="0"/>
        </c:dLbls>
        <c:smooth val="0"/>
        <c:axId val="626384096"/>
        <c:axId val="626402816"/>
      </c:lineChart>
      <c:dateAx>
        <c:axId val="626384096"/>
        <c:scaling>
          <c:orientation val="minMax"/>
        </c:scaling>
        <c:delete val="1"/>
        <c:axPos val="b"/>
        <c:numFmt formatCode="[$-1010000]dd/mm;@" sourceLinked="1"/>
        <c:majorTickMark val="out"/>
        <c:minorTickMark val="none"/>
        <c:tickLblPos val="nextTo"/>
        <c:crossAx val="626402816"/>
        <c:crosses val="autoZero"/>
        <c:auto val="1"/>
        <c:lblOffset val="100"/>
        <c:baseTimeUnit val="days"/>
        <c:majorUnit val="2"/>
        <c:majorTimeUnit val="days"/>
      </c:dateAx>
      <c:valAx>
        <c:axId val="626402816"/>
        <c:scaling>
          <c:orientation val="minMax"/>
          <c:min val="4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crossAx val="62638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accent2">
                  <a:lumMod val="40000"/>
                  <a:lumOff val="60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[Gym Tracker.xlsm]Sheet5!PivotTable1</c:name>
    <c:fmtId val="4"/>
  </c:pivotSource>
  <c:chart>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Tahoma" panose="020B0604030504040204" pitchFamily="34" charset="0"/>
                <a:cs typeface="Times New Roman" panose="02020603050405020304" pitchFamily="18" charset="0"/>
              </a:defRPr>
            </a:pPr>
            <a:r>
              <a:rPr lang="en-US" sz="1200">
                <a:latin typeface="Times New Roman" panose="02020603050405020304" pitchFamily="18" charset="0"/>
                <a:ea typeface="Tahoma" panose="020B0604030504040204" pitchFamily="34" charset="0"/>
                <a:cs typeface="Times New Roman" panose="02020603050405020304" pitchFamily="18" charset="0"/>
              </a:rPr>
              <a:t>Phân</a:t>
            </a:r>
            <a:r>
              <a:rPr lang="en-US" sz="1200" baseline="0">
                <a:latin typeface="Times New Roman" panose="02020603050405020304" pitchFamily="18" charset="0"/>
                <a:ea typeface="Tahoma" panose="020B0604030504040204" pitchFamily="34" charset="0"/>
                <a:cs typeface="Times New Roman" panose="02020603050405020304" pitchFamily="18" charset="0"/>
              </a:rPr>
              <a:t> bổ Volume cho mỗi nhóm cơ</a:t>
            </a:r>
            <a:r>
              <a:rPr lang="en-US" sz="1200">
                <a:latin typeface="Times New Roman" panose="02020603050405020304" pitchFamily="18" charset="0"/>
                <a:ea typeface="Tahoma" panose="020B0604030504040204" pitchFamily="34" charset="0"/>
                <a:cs typeface="Times New Roman" panose="02020603050405020304" pitchFamily="18" charset="0"/>
              </a:rPr>
              <a:t> </a:t>
            </a:r>
            <a:endParaRPr lang="vi-VN" sz="1200">
              <a:latin typeface="Times New Roman" panose="02020603050405020304" pitchFamily="18" charset="0"/>
              <a:ea typeface="Tahoma" panose="020B0604030504040204" pitchFamily="34" charset="0"/>
              <a:cs typeface="Times New Roman" panose="02020603050405020304" pitchFamily="18" charset="0"/>
            </a:endParaRPr>
          </a:p>
        </c:rich>
      </c:tx>
      <c:layout>
        <c:manualLayout>
          <c:xMode val="edge"/>
          <c:yMode val="edge"/>
          <c:x val="4.436701509872242E-3"/>
          <c:y val="3.9331378945758003E-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Tahoma" panose="020B0604030504040204" pitchFamily="34" charset="0"/>
              <a:cs typeface="Times New Roman" panose="02020603050405020304" pitchFamily="18" charset="0"/>
            </a:defRPr>
          </a:pPr>
          <a:endParaRPr lang="en-US"/>
        </a:p>
      </c:tx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a:outerShdw blurRad="63500" sx="102000" sy="102000" algn="ctr" rotWithShape="0">
              <a:prstClr val="black">
                <a:alpha val="20000"/>
              </a:prstClr>
            </a:outerShdw>
          </a:effectLst>
        </c:spPr>
      </c:pivotFmt>
      <c:pivotFmt>
        <c:idx val="9"/>
        <c:spPr>
          <a:solidFill>
            <a:schemeClr val="accent2"/>
          </a:solidFill>
          <a:ln>
            <a:noFill/>
          </a:ln>
          <a:effectLst>
            <a:outerShdw blurRad="63500" sx="102000" sy="102000" algn="ctr" rotWithShape="0">
              <a:prstClr val="black">
                <a:alpha val="20000"/>
              </a:prstClr>
            </a:outerShdw>
          </a:effectLst>
        </c:spPr>
      </c:pivotFmt>
      <c:pivotFmt>
        <c:idx val="1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63500" sx="102000" sy="102000" algn="ctr" rotWithShape="0">
              <a:prstClr val="black">
                <a:alpha val="20000"/>
              </a:prstClr>
            </a:outerShdw>
          </a:effectLst>
        </c:spPr>
      </c:pivotFmt>
      <c:pivotFmt>
        <c:idx val="12"/>
        <c:spPr>
          <a:solidFill>
            <a:schemeClr val="accent2"/>
          </a:solidFill>
          <a:ln>
            <a:noFill/>
          </a:ln>
          <a:effectLst>
            <a:outerShdw blurRad="63500" sx="102000" sy="102000" algn="ctr" rotWithShape="0">
              <a:prstClr val="black">
                <a:alpha val="20000"/>
              </a:prstClr>
            </a:outerShdw>
          </a:effectLst>
        </c:spPr>
      </c:pivotFmt>
      <c:pivotFmt>
        <c:idx val="13"/>
        <c:spPr>
          <a:solidFill>
            <a:schemeClr val="accent2"/>
          </a:solidFill>
          <a:ln>
            <a:noFill/>
          </a:ln>
          <a:effectLst>
            <a:outerShdw blurRad="63500" sx="102000" sy="102000" algn="ctr" rotWithShape="0">
              <a:prstClr val="black">
                <a:alpha val="20000"/>
              </a:prstClr>
            </a:outerShdw>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2">
              <a:shade val="65000"/>
            </a:schemeClr>
          </a:solidFill>
          <a:ln>
            <a:noFill/>
          </a:ln>
          <a:effectLst>
            <a:outerShdw blurRad="63500" sx="102000" sy="102000" algn="ctr" rotWithShape="0">
              <a:prstClr val="black">
                <a:alpha val="20000"/>
              </a:prstClr>
            </a:outerShdw>
          </a:effectLst>
        </c:spPr>
      </c:pivotFmt>
      <c:pivotFmt>
        <c:idx val="16"/>
        <c:spPr>
          <a:solidFill>
            <a:schemeClr val="accent2"/>
          </a:solidFill>
          <a:ln>
            <a:noFill/>
          </a:ln>
          <a:effectLst>
            <a:outerShdw blurRad="63500" sx="102000" sy="102000" algn="ctr" rotWithShape="0">
              <a:prstClr val="black">
                <a:alpha val="20000"/>
              </a:prstClr>
            </a:outerShdw>
          </a:effectLst>
        </c:spPr>
      </c:pivotFmt>
      <c:pivotFmt>
        <c:idx val="17"/>
        <c:spPr>
          <a:solidFill>
            <a:schemeClr val="accent2"/>
          </a:solidFill>
          <a:ln>
            <a:noFill/>
          </a:ln>
          <a:effectLst>
            <a:outerShdw blurRad="63500" sx="102000" sy="102000" algn="ctr" rotWithShape="0">
              <a:prstClr val="black">
                <a:alpha val="20000"/>
              </a:prstClr>
            </a:outerShdw>
          </a:effectLst>
        </c:spPr>
      </c:pivotFmt>
      <c:pivotFmt>
        <c:idx val="18"/>
        <c:dLbl>
          <c:idx val="0"/>
          <c:layout>
            <c:manualLayout>
              <c:x val="0.11091018685955387"/>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dLbl>
          <c:idx val="0"/>
          <c:layout>
            <c:manualLayout>
              <c:x val="-6.027727546714892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2"/>
          </a:solidFill>
          <a:ln>
            <a:noFill/>
          </a:ln>
          <a:effectLst/>
        </c:spPr>
      </c:pivotFmt>
      <c:pivotFmt>
        <c:idx val="21"/>
        <c:spPr>
          <a:solidFill>
            <a:schemeClr val="accent2">
              <a:tint val="65000"/>
            </a:schemeClr>
          </a:solidFill>
          <a:ln>
            <a:noFill/>
          </a:ln>
          <a:effectLst/>
        </c:spPr>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2">
              <a:shade val="65000"/>
            </a:schemeClr>
          </a:solidFill>
          <a:ln>
            <a:noFill/>
          </a:ln>
          <a:effectLst/>
        </c:spPr>
      </c:pivotFmt>
      <c:pivotFmt>
        <c:idx val="24"/>
        <c:spPr>
          <a:solidFill>
            <a:schemeClr val="accent2"/>
          </a:solidFill>
          <a:ln>
            <a:noFill/>
          </a:ln>
          <a:effectLst/>
        </c:spPr>
      </c:pivotFmt>
      <c:pivotFmt>
        <c:idx val="25"/>
        <c:spPr>
          <a:solidFill>
            <a:schemeClr val="accent2">
              <a:tint val="65000"/>
            </a:schemeClr>
          </a:solidFill>
          <a:ln>
            <a:noFill/>
          </a:ln>
          <a:effectLst/>
        </c:spPr>
      </c:pivotFmt>
      <c:pivotFmt>
        <c:idx val="26"/>
        <c:spPr>
          <a:solidFill>
            <a:schemeClr val="accent2">
              <a:shade val="90000"/>
            </a:schemeClr>
          </a:solidFill>
          <a:ln>
            <a:noFill/>
          </a:ln>
          <a:effectLst/>
        </c:spPr>
      </c:pivotFmt>
      <c:pivotFmt>
        <c:idx val="27"/>
        <c:spPr>
          <a:solidFill>
            <a:schemeClr val="accent2"/>
          </a:solidFill>
          <a:ln>
            <a:noFill/>
          </a:ln>
          <a:effectLst/>
        </c:spPr>
      </c:pivotFmt>
      <c:pivotFmt>
        <c:idx val="28"/>
        <c:spPr>
          <a:solidFill>
            <a:schemeClr val="accent2">
              <a:tint val="70000"/>
            </a:schemeClr>
          </a:solidFill>
          <a:ln>
            <a:noFill/>
          </a:ln>
          <a:effectLst/>
        </c:spPr>
      </c:pivotFmt>
      <c:pivotFmt>
        <c:idx val="29"/>
        <c:spPr>
          <a:solidFill>
            <a:schemeClr val="accent2"/>
          </a:solidFill>
          <a:ln>
            <a:noFill/>
          </a:ln>
          <a:effectLst/>
        </c:spPr>
      </c:pivotFmt>
      <c:pivotFmt>
        <c:idx val="30"/>
        <c:spPr>
          <a:solidFill>
            <a:schemeClr val="accent2">
              <a:tint val="54000"/>
            </a:schemeClr>
          </a:solidFill>
          <a:ln>
            <a:noFill/>
          </a:ln>
          <a:effectLst/>
        </c:spPr>
      </c:pivotFmt>
    </c:pivotFmts>
    <c:plotArea>
      <c:layout>
        <c:manualLayout>
          <c:layoutTarget val="inner"/>
          <c:xMode val="edge"/>
          <c:yMode val="edge"/>
          <c:x val="0.29201930436848533"/>
          <c:y val="0.23829074499202582"/>
          <c:w val="0.4770638670166229"/>
          <c:h val="0.65054163684084942"/>
        </c:manualLayout>
      </c:layout>
      <c:pieChart>
        <c:varyColors val="1"/>
        <c:ser>
          <c:idx val="0"/>
          <c:order val="0"/>
          <c:tx>
            <c:strRef>
              <c:f>Sheet5!$L$7</c:f>
              <c:strCache>
                <c:ptCount val="1"/>
                <c:pt idx="0">
                  <c:v>Total</c:v>
                </c:pt>
              </c:strCache>
            </c:strRef>
          </c:tx>
          <c:explosion val="5"/>
          <c:dPt>
            <c:idx val="0"/>
            <c:bubble3D val="0"/>
            <c:spPr>
              <a:solidFill>
                <a:schemeClr val="accent2">
                  <a:shade val="65000"/>
                </a:schemeClr>
              </a:solidFill>
              <a:ln>
                <a:noFill/>
              </a:ln>
              <a:effectLst/>
            </c:spPr>
            <c:extLst>
              <c:ext xmlns:c16="http://schemas.microsoft.com/office/drawing/2014/chart" uri="{C3380CC4-5D6E-409C-BE32-E72D297353CC}">
                <c16:uniqueId val="{00000001-0700-47B5-974C-3CDD6E0800C7}"/>
              </c:ext>
            </c:extLst>
          </c:dPt>
          <c:dPt>
            <c:idx val="1"/>
            <c:bubble3D val="0"/>
            <c:spPr>
              <a:solidFill>
                <a:schemeClr val="accent2"/>
              </a:solidFill>
              <a:ln>
                <a:noFill/>
              </a:ln>
              <a:effectLst/>
            </c:spPr>
            <c:extLst>
              <c:ext xmlns:c16="http://schemas.microsoft.com/office/drawing/2014/chart" uri="{C3380CC4-5D6E-409C-BE32-E72D297353CC}">
                <c16:uniqueId val="{00000003-0700-47B5-974C-3CDD6E0800C7}"/>
              </c:ext>
            </c:extLst>
          </c:dPt>
          <c:dPt>
            <c:idx val="2"/>
            <c:bubble3D val="0"/>
            <c:spPr>
              <a:solidFill>
                <a:schemeClr val="accent2"/>
              </a:solidFill>
              <a:ln>
                <a:noFill/>
              </a:ln>
              <a:effectLst/>
            </c:spPr>
            <c:extLst>
              <c:ext xmlns:c16="http://schemas.microsoft.com/office/drawing/2014/chart" uri="{C3380CC4-5D6E-409C-BE32-E72D297353CC}">
                <c16:uniqueId val="{00000005-0700-47B5-974C-3CDD6E0800C7}"/>
              </c:ext>
            </c:extLst>
          </c:dPt>
          <c:dPt>
            <c:idx val="3"/>
            <c:bubble3D val="0"/>
            <c:spPr>
              <a:solidFill>
                <a:schemeClr val="accent2">
                  <a:tint val="70000"/>
                </a:schemeClr>
              </a:solidFill>
              <a:ln>
                <a:noFill/>
              </a:ln>
              <a:effectLst/>
            </c:spPr>
            <c:extLst>
              <c:ext xmlns:c16="http://schemas.microsoft.com/office/drawing/2014/chart" uri="{C3380CC4-5D6E-409C-BE32-E72D297353CC}">
                <c16:uniqueId val="{00000007-9BBC-4543-BDDA-C5945784C81C}"/>
              </c:ext>
            </c:extLst>
          </c:dPt>
          <c:dPt>
            <c:idx val="4"/>
            <c:bubble3D val="0"/>
            <c:spPr>
              <a:solidFill>
                <a:schemeClr val="accent2">
                  <a:tint val="54000"/>
                </a:schemeClr>
              </a:solidFill>
              <a:ln>
                <a:noFill/>
              </a:ln>
              <a:effectLst/>
            </c:spPr>
            <c:extLst>
              <c:ext xmlns:c16="http://schemas.microsoft.com/office/drawing/2014/chart" uri="{C3380CC4-5D6E-409C-BE32-E72D297353CC}">
                <c16:uniqueId val="{00000009-9BBC-4543-BDDA-C5945784C81C}"/>
              </c:ext>
            </c:extLst>
          </c:dPt>
          <c:dPt>
            <c:idx val="5"/>
            <c:bubble3D val="0"/>
            <c:spPr>
              <a:solidFill>
                <a:schemeClr val="accent2">
                  <a:tint val="30000"/>
                </a:schemeClr>
              </a:solidFill>
              <a:ln>
                <a:noFill/>
              </a:ln>
              <a:effectLst/>
            </c:spPr>
            <c:extLst>
              <c:ext xmlns:c16="http://schemas.microsoft.com/office/drawing/2014/chart" uri="{C3380CC4-5D6E-409C-BE32-E72D297353CC}">
                <c16:uniqueId val="{0000000B-9BBC-4543-BDDA-C5945784C81C}"/>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1"/>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Sheet5!$K$8:$K$12</c:f>
              <c:strCache>
                <c:ptCount val="5"/>
                <c:pt idx="0">
                  <c:v>Chest</c:v>
                </c:pt>
                <c:pt idx="1">
                  <c:v>Back</c:v>
                </c:pt>
                <c:pt idx="2">
                  <c:v>Shoulder</c:v>
                </c:pt>
                <c:pt idx="3">
                  <c:v>Leg</c:v>
                </c:pt>
                <c:pt idx="4">
                  <c:v>Core</c:v>
                </c:pt>
              </c:strCache>
            </c:strRef>
          </c:cat>
          <c:val>
            <c:numRef>
              <c:f>Sheet5!$L$8:$L$12</c:f>
              <c:numCache>
                <c:formatCode>General</c:formatCode>
                <c:ptCount val="5"/>
                <c:pt idx="0">
                  <c:v>1890</c:v>
                </c:pt>
                <c:pt idx="1">
                  <c:v>1695</c:v>
                </c:pt>
                <c:pt idx="2">
                  <c:v>390</c:v>
                </c:pt>
                <c:pt idx="3">
                  <c:v>1560</c:v>
                </c:pt>
                <c:pt idx="4">
                  <c:v>360</c:v>
                </c:pt>
              </c:numCache>
            </c:numRef>
          </c:val>
          <c:extLst>
            <c:ext xmlns:c16="http://schemas.microsoft.com/office/drawing/2014/chart" uri="{C3380CC4-5D6E-409C-BE32-E72D297353CC}">
              <c16:uniqueId val="{00000006-E8C8-4454-B56D-9BF927DB8F68}"/>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[Gym Tracker.xlsm]Sheet5!PivotTable4</c:name>
    <c:fmtId val="9"/>
  </c:pivotSource>
  <c:chart>
    <c:title>
      <c:tx>
        <c:rich>
          <a:bodyPr rot="0" spcFirstLastPara="1" vertOverflow="ellipsis" vert="horz" wrap="square" anchor="ctr" anchorCtr="1"/>
          <a:lstStyle/>
          <a:p>
            <a:pPr>
              <a:defRPr sz="1200" b="1" i="0" u="none" strike="noStrike" kern="1200" cap="none" spc="20" baseline="0">
                <a:solidFill>
                  <a:schemeClr val="tx1"/>
                </a:solidFill>
                <a:latin typeface="Times New Roman" panose="02020603050405020304" pitchFamily="18" charset="0"/>
                <a:ea typeface="+mn-ea"/>
                <a:cs typeface="Times New Roman" panose="02020603050405020304" pitchFamily="18" charset="0"/>
              </a:defRPr>
            </a:pPr>
            <a:r>
              <a:rPr lang="en-US" sz="1200" b="1">
                <a:solidFill>
                  <a:schemeClr val="tx1"/>
                </a:solidFill>
                <a:latin typeface="Times New Roman" panose="02020603050405020304" pitchFamily="18" charset="0"/>
                <a:cs typeface="Times New Roman" panose="02020603050405020304" pitchFamily="18" charset="0"/>
              </a:rPr>
              <a:t>Total Sets</a:t>
            </a:r>
            <a:r>
              <a:rPr lang="en-US" sz="1200" b="1" baseline="0">
                <a:solidFill>
                  <a:schemeClr val="tx1"/>
                </a:solidFill>
                <a:latin typeface="Times New Roman" panose="02020603050405020304" pitchFamily="18" charset="0"/>
                <a:cs typeface="Times New Roman" panose="02020603050405020304" pitchFamily="18" charset="0"/>
              </a:rPr>
              <a:t> cho mỗi nhóm cơ</a:t>
            </a:r>
            <a:endParaRPr lang="vi-VN" sz="1200" b="1">
              <a:solidFill>
                <a:schemeClr val="tx1"/>
              </a:solidFill>
              <a:latin typeface="Times New Roman" panose="02020603050405020304" pitchFamily="18" charset="0"/>
              <a:cs typeface="Times New Roman" panose="02020603050405020304" pitchFamily="18" charset="0"/>
            </a:endParaRPr>
          </a:p>
        </c:rich>
      </c:tx>
      <c:layout>
        <c:manualLayout>
          <c:xMode val="edge"/>
          <c:yMode val="edge"/>
          <c:x val="2.6735199766695812E-3"/>
          <c:y val="7.9129550027009967E-3"/>
        </c:manualLayout>
      </c:layout>
      <c:overlay val="0"/>
      <c:spPr>
        <a:solidFill>
          <a:schemeClr val="bg1"/>
        </a:solidFill>
        <a:ln>
          <a:noFill/>
        </a:ln>
        <a:effectLst/>
      </c:spPr>
      <c:txPr>
        <a:bodyPr rot="0" spcFirstLastPara="1" vertOverflow="ellipsis" vert="horz" wrap="square" anchor="ctr" anchorCtr="1"/>
        <a:lstStyle/>
        <a:p>
          <a:pPr>
            <a:defRPr sz="1200" b="1" i="0" u="none" strike="noStrike" kern="1200" cap="none" spc="2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775092768576334E-3"/>
          <c:y val="0.11795669960594421"/>
          <c:w val="0.90210734003077198"/>
          <c:h val="0.67704094132272163"/>
        </c:manualLayout>
      </c:layout>
      <c:barChart>
        <c:barDir val="col"/>
        <c:grouping val="clustered"/>
        <c:varyColors val="0"/>
        <c:ser>
          <c:idx val="0"/>
          <c:order val="0"/>
          <c:tx>
            <c:strRef>
              <c:f>Sheet5!$I$7</c:f>
              <c:strCache>
                <c:ptCount val="1"/>
                <c:pt idx="0">
                  <c:v>Total</c:v>
                </c:pt>
              </c:strCache>
            </c:strRef>
          </c:tx>
          <c:spPr>
            <a:solidFill>
              <a:schemeClr val="accent2">
                <a:lumMod val="40000"/>
                <a:lumOff val="60000"/>
              </a:schemeClr>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Sheet5!$G$8:$H$12</c:f>
              <c:strCache>
                <c:ptCount val="5"/>
                <c:pt idx="0">
                  <c:v>Chest</c:v>
                </c:pt>
                <c:pt idx="1">
                  <c:v>Leg</c:v>
                </c:pt>
                <c:pt idx="2">
                  <c:v>Back</c:v>
                </c:pt>
                <c:pt idx="3">
                  <c:v>Core</c:v>
                </c:pt>
                <c:pt idx="4">
                  <c:v>Shoulder</c:v>
                </c:pt>
              </c:strCache>
            </c:strRef>
          </c:cat>
          <c:val>
            <c:numRef>
              <c:f>Sheet5!$I$8:$I$12</c:f>
              <c:numCache>
                <c:formatCode>General</c:formatCode>
                <c:ptCount val="5"/>
                <c:pt idx="0">
                  <c:v>11</c:v>
                </c:pt>
                <c:pt idx="1">
                  <c:v>11</c:v>
                </c:pt>
                <c:pt idx="2">
                  <c:v>10</c:v>
                </c:pt>
                <c:pt idx="3">
                  <c:v>3</c:v>
                </c:pt>
                <c:pt idx="4">
                  <c:v>3</c:v>
                </c:pt>
              </c:numCache>
            </c:numRef>
          </c:val>
          <c:extLst>
            <c:ext xmlns:c16="http://schemas.microsoft.com/office/drawing/2014/chart" uri="{C3380CC4-5D6E-409C-BE32-E72D297353CC}">
              <c16:uniqueId val="{00000000-0000-4C1F-8D38-FDFE9377F125}"/>
            </c:ext>
          </c:extLst>
        </c:ser>
        <c:dLbls>
          <c:showLegendKey val="0"/>
          <c:showVal val="0"/>
          <c:showCatName val="0"/>
          <c:showSerName val="0"/>
          <c:showPercent val="0"/>
          <c:showBubbleSize val="0"/>
        </c:dLbls>
        <c:gapWidth val="100"/>
        <c:overlap val="-24"/>
        <c:axId val="2006632447"/>
        <c:axId val="2006632927"/>
      </c:barChart>
      <c:catAx>
        <c:axId val="200663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crossAx val="2006632927"/>
        <c:crosses val="autoZero"/>
        <c:auto val="1"/>
        <c:lblAlgn val="ctr"/>
        <c:lblOffset val="100"/>
        <c:noMultiLvlLbl val="0"/>
      </c:catAx>
      <c:valAx>
        <c:axId val="2006632927"/>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06632447"/>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[Gym Tracker.xlsm]Sheet5!PivotTable2</c:name>
    <c:fmtId val="7"/>
  </c:pivotSource>
  <c:chart>
    <c:title>
      <c:tx>
        <c:rich>
          <a:bodyPr rot="0" spcFirstLastPara="1" vertOverflow="ellipsis" vert="horz" wrap="square" anchor="ctr" anchorCtr="1"/>
          <a:lstStyle/>
          <a:p>
            <a:pPr>
              <a:defRPr sz="1400" b="0" i="0" u="none" strike="noStrike" kern="1200" cap="none" spc="20" baseline="0">
                <a:solidFill>
                  <a:schemeClr val="tx1"/>
                </a:solidFill>
                <a:latin typeface="+mn-lt"/>
                <a:ea typeface="+mn-ea"/>
                <a:cs typeface="+mn-cs"/>
              </a:defRPr>
            </a:pPr>
            <a:r>
              <a:rPr lang="en-US" sz="1200" b="1">
                <a:solidFill>
                  <a:schemeClr val="tx1"/>
                </a:solidFill>
                <a:latin typeface="Times New Roman" panose="02020603050405020304" pitchFamily="18" charset="0"/>
                <a:cs typeface="Times New Roman" panose="02020603050405020304" pitchFamily="18" charset="0"/>
              </a:rPr>
              <a:t>Total</a:t>
            </a:r>
            <a:r>
              <a:rPr lang="en-US" sz="1200" b="1" baseline="0">
                <a:solidFill>
                  <a:schemeClr val="tx1"/>
                </a:solidFill>
                <a:latin typeface="Times New Roman" panose="02020603050405020304" pitchFamily="18" charset="0"/>
                <a:cs typeface="Times New Roman" panose="02020603050405020304" pitchFamily="18" charset="0"/>
              </a:rPr>
              <a:t> Volume cho mỗi nhóm cơ</a:t>
            </a:r>
          </a:p>
          <a:p>
            <a:pPr>
              <a:defRPr>
                <a:solidFill>
                  <a:schemeClr val="tx1"/>
                </a:solidFill>
              </a:defRPr>
            </a:pPr>
            <a:r>
              <a:rPr lang="en-US" sz="1200" b="1" baseline="0">
                <a:solidFill>
                  <a:schemeClr val="tx1"/>
                </a:solidFill>
                <a:latin typeface="Times New Roman" panose="02020603050405020304" pitchFamily="18" charset="0"/>
                <a:cs typeface="Times New Roman" panose="02020603050405020304" pitchFamily="18" charset="0"/>
              </a:rPr>
              <a:t> </a:t>
            </a:r>
            <a:endParaRPr lang="en-US" sz="1200" b="1">
              <a:solidFill>
                <a:schemeClr val="tx1"/>
              </a:solidFill>
              <a:latin typeface="Times New Roman" panose="02020603050405020304" pitchFamily="18" charset="0"/>
              <a:cs typeface="Times New Roman" panose="02020603050405020304" pitchFamily="18" charset="0"/>
            </a:endParaRPr>
          </a:p>
        </c:rich>
      </c:tx>
      <c:layout>
        <c:manualLayout>
          <c:xMode val="edge"/>
          <c:yMode val="edge"/>
          <c:x val="1.3305153113269818E-3"/>
          <c:y val="0"/>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32503447357146E-2"/>
          <c:y val="0.12962444328378911"/>
          <c:w val="0.91396721500347444"/>
          <c:h val="0.68647526252715352"/>
        </c:manualLayout>
      </c:layout>
      <c:barChart>
        <c:barDir val="col"/>
        <c:grouping val="clustered"/>
        <c:varyColors val="0"/>
        <c:ser>
          <c:idx val="0"/>
          <c:order val="0"/>
          <c:tx>
            <c:strRef>
              <c:f>Sheet5!$D$7</c:f>
              <c:strCache>
                <c:ptCount val="1"/>
                <c:pt idx="0">
                  <c:v>Total</c:v>
                </c:pt>
              </c:strCache>
            </c:strRef>
          </c:tx>
          <c:spPr>
            <a:solidFill>
              <a:schemeClr val="accent2">
                <a:lumMod val="40000"/>
                <a:lumOff val="60000"/>
              </a:schemeClr>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Sheet5!$B$8:$C$12</c:f>
              <c:strCache>
                <c:ptCount val="5"/>
                <c:pt idx="0">
                  <c:v>Chest</c:v>
                </c:pt>
                <c:pt idx="1">
                  <c:v>Back</c:v>
                </c:pt>
                <c:pt idx="2">
                  <c:v>Leg</c:v>
                </c:pt>
                <c:pt idx="3">
                  <c:v>Shoulder</c:v>
                </c:pt>
                <c:pt idx="4">
                  <c:v>Core</c:v>
                </c:pt>
              </c:strCache>
            </c:strRef>
          </c:cat>
          <c:val>
            <c:numRef>
              <c:f>Sheet5!$D$8:$D$12</c:f>
              <c:numCache>
                <c:formatCode>0</c:formatCode>
                <c:ptCount val="5"/>
                <c:pt idx="0">
                  <c:v>1890</c:v>
                </c:pt>
                <c:pt idx="1">
                  <c:v>1695</c:v>
                </c:pt>
                <c:pt idx="2">
                  <c:v>1560</c:v>
                </c:pt>
                <c:pt idx="3">
                  <c:v>390</c:v>
                </c:pt>
                <c:pt idx="4">
                  <c:v>360</c:v>
                </c:pt>
              </c:numCache>
            </c:numRef>
          </c:val>
          <c:extLst>
            <c:ext xmlns:c16="http://schemas.microsoft.com/office/drawing/2014/chart" uri="{C3380CC4-5D6E-409C-BE32-E72D297353CC}">
              <c16:uniqueId val="{00000000-7AEC-49BC-B0BC-EB34A0917AE2}"/>
            </c:ext>
          </c:extLst>
        </c:ser>
        <c:dLbls>
          <c:showLegendKey val="0"/>
          <c:showVal val="0"/>
          <c:showCatName val="0"/>
          <c:showSerName val="0"/>
          <c:showPercent val="0"/>
          <c:showBubbleSize val="0"/>
        </c:dLbls>
        <c:gapWidth val="100"/>
        <c:overlap val="-24"/>
        <c:axId val="1895235919"/>
        <c:axId val="1895236879"/>
      </c:barChart>
      <c:catAx>
        <c:axId val="1895235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crossAx val="1895236879"/>
        <c:crosses val="autoZero"/>
        <c:auto val="1"/>
        <c:lblAlgn val="ctr"/>
        <c:lblOffset val="100"/>
        <c:noMultiLvlLbl val="0"/>
      </c:catAx>
      <c:valAx>
        <c:axId val="189523687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9523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[Gym Tracker.xlsm]Sheet5!PivotTable3</c:name>
    <c:fmtId val="5"/>
  </c:pivotSource>
  <c:chart>
    <c:title>
      <c:tx>
        <c:rich>
          <a:bodyPr rot="0" spcFirstLastPara="1" vertOverflow="ellipsis" vert="horz" wrap="square" anchor="ctr" anchorCtr="1"/>
          <a:lstStyle/>
          <a:p>
            <a:pPr>
              <a:defRPr sz="1200" b="1" i="0" u="none" strike="noStrike" kern="1200" cap="none" spc="20" baseline="0">
                <a:solidFill>
                  <a:schemeClr val="tx1"/>
                </a:solidFill>
                <a:latin typeface="Times New Roman" panose="02020603050405020304" pitchFamily="18" charset="0"/>
                <a:ea typeface="+mn-ea"/>
                <a:cs typeface="Times New Roman" panose="02020603050405020304" pitchFamily="18" charset="0"/>
              </a:defRPr>
            </a:pPr>
            <a:r>
              <a:rPr lang="en-US" sz="1200" b="1">
                <a:solidFill>
                  <a:schemeClr val="tx1"/>
                </a:solidFill>
                <a:latin typeface="Times New Roman" panose="02020603050405020304" pitchFamily="18" charset="0"/>
                <a:cs typeface="Times New Roman" panose="02020603050405020304" pitchFamily="18" charset="0"/>
              </a:rPr>
              <a:t>Volume cho mỗi</a:t>
            </a:r>
            <a:r>
              <a:rPr lang="en-US" sz="1200" b="1" baseline="0">
                <a:solidFill>
                  <a:schemeClr val="tx1"/>
                </a:solidFill>
                <a:latin typeface="Times New Roman" panose="02020603050405020304" pitchFamily="18" charset="0"/>
                <a:cs typeface="Times New Roman" panose="02020603050405020304" pitchFamily="18" charset="0"/>
              </a:rPr>
              <a:t> buổi tập</a:t>
            </a:r>
            <a:endParaRPr lang="vi-VN" sz="1200" b="1">
              <a:solidFill>
                <a:schemeClr val="tx1"/>
              </a:solidFill>
              <a:latin typeface="Times New Roman" panose="02020603050405020304" pitchFamily="18" charset="0"/>
              <a:cs typeface="Times New Roman" panose="02020603050405020304" pitchFamily="18" charset="0"/>
            </a:endParaRPr>
          </a:p>
        </c:rich>
      </c:tx>
      <c:layout>
        <c:manualLayout>
          <c:xMode val="edge"/>
          <c:yMode val="edge"/>
          <c:x val="0"/>
          <c:y val="7.375541369092126E-3"/>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196649199337884E-2"/>
          <c:y val="0.14156858373673498"/>
          <c:w val="0.80591127328596124"/>
          <c:h val="0.77223536444793439"/>
        </c:manualLayout>
      </c:layout>
      <c:barChart>
        <c:barDir val="col"/>
        <c:grouping val="clustered"/>
        <c:varyColors val="0"/>
        <c:ser>
          <c:idx val="0"/>
          <c:order val="0"/>
          <c:tx>
            <c:strRef>
              <c:f>Sheet5!$O$7:$O$8</c:f>
              <c:strCache>
                <c:ptCount val="1"/>
                <c:pt idx="0">
                  <c:v>Week 1</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Sheet5!$N$9:$N$14</c:f>
              <c:strCache>
                <c:ptCount val="6"/>
                <c:pt idx="0">
                  <c:v>Workout 1</c:v>
                </c:pt>
                <c:pt idx="1">
                  <c:v>Workout 2</c:v>
                </c:pt>
                <c:pt idx="2">
                  <c:v>Workout 3</c:v>
                </c:pt>
                <c:pt idx="3">
                  <c:v>Workout 4</c:v>
                </c:pt>
                <c:pt idx="4">
                  <c:v>Workout 5</c:v>
                </c:pt>
                <c:pt idx="5">
                  <c:v>Workout 6</c:v>
                </c:pt>
              </c:strCache>
            </c:strRef>
          </c:cat>
          <c:val>
            <c:numRef>
              <c:f>Sheet5!$O$9:$O$14</c:f>
              <c:numCache>
                <c:formatCode>General</c:formatCode>
                <c:ptCount val="6"/>
                <c:pt idx="0">
                  <c:v>2670</c:v>
                </c:pt>
                <c:pt idx="1">
                  <c:v>1140</c:v>
                </c:pt>
                <c:pt idx="2">
                  <c:v>2085</c:v>
                </c:pt>
                <c:pt idx="3">
                  <c:v>0</c:v>
                </c:pt>
                <c:pt idx="4">
                  <c:v>0</c:v>
                </c:pt>
                <c:pt idx="5">
                  <c:v>0</c:v>
                </c:pt>
              </c:numCache>
            </c:numRef>
          </c:val>
          <c:extLst>
            <c:ext xmlns:c16="http://schemas.microsoft.com/office/drawing/2014/chart" uri="{C3380CC4-5D6E-409C-BE32-E72D297353CC}">
              <c16:uniqueId val="{00000000-A716-49DA-91ED-14742EB24914}"/>
            </c:ext>
          </c:extLst>
        </c:ser>
        <c:dLbls>
          <c:showLegendKey val="0"/>
          <c:showVal val="0"/>
          <c:showCatName val="0"/>
          <c:showSerName val="0"/>
          <c:showPercent val="0"/>
          <c:showBubbleSize val="0"/>
        </c:dLbls>
        <c:gapWidth val="100"/>
        <c:axId val="1765241775"/>
        <c:axId val="1765242255"/>
      </c:barChart>
      <c:catAx>
        <c:axId val="176524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765242255"/>
        <c:crosses val="autoZero"/>
        <c:auto val="1"/>
        <c:lblAlgn val="ctr"/>
        <c:lblOffset val="100"/>
        <c:noMultiLvlLbl val="0"/>
      </c:catAx>
      <c:valAx>
        <c:axId val="1765242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765241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2">
                  <a:lumMod val="75000"/>
                  <a:lumOff val="2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9</xdr:col>
      <xdr:colOff>0</xdr:colOff>
      <xdr:row>9</xdr:row>
      <xdr:rowOff>0</xdr:rowOff>
    </xdr:from>
    <xdr:to>
      <xdr:col>14</xdr:col>
      <xdr:colOff>0</xdr:colOff>
      <xdr:row>27</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xdr:colOff>
      <xdr:row>9</xdr:row>
      <xdr:rowOff>0</xdr:rowOff>
    </xdr:from>
    <xdr:to>
      <xdr:col>18</xdr:col>
      <xdr:colOff>843493</xdr:colOff>
      <xdr:row>27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0</xdr:colOff>
      <xdr:row>32</xdr:row>
      <xdr:rowOff>9525</xdr:rowOff>
    </xdr:from>
    <xdr:to>
      <xdr:col>24</xdr:col>
      <xdr:colOff>1</xdr:colOff>
      <xdr:row>42</xdr:row>
      <xdr:rowOff>9525</xdr:rowOff>
    </xdr:to>
    <mc:AlternateContent xmlns:mc="http://schemas.openxmlformats.org/markup-compatibility/2006" xmlns:sle15="http://schemas.microsoft.com/office/drawing/2012/slicer">
      <mc:Choice Requires="sle15">
        <xdr:graphicFrame macro="">
          <xdr:nvGraphicFramePr>
            <xdr:cNvPr id="19" name="Date 1">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9420225" y="5191125"/>
              <a:ext cx="3667125" cy="1619250"/>
            </a:xfrm>
            <a:prstGeom prst="rect">
              <a:avLst/>
            </a:prstGeom>
            <a:solidFill>
              <a:prstClr val="white"/>
            </a:solidFill>
            <a:ln w="1">
              <a:solidFill>
                <a:prstClr val="green"/>
              </a:solidFill>
            </a:ln>
          </xdr:spPr>
          <xdr:txBody>
            <a:bodyPr vertOverflow="clip" horzOverflow="clip"/>
            <a:lstStyle/>
            <a:p>
              <a:r>
                <a:rPr lang="vi-V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23</xdr:row>
      <xdr:rowOff>9525</xdr:rowOff>
    </xdr:from>
    <xdr:to>
      <xdr:col>24</xdr:col>
      <xdr:colOff>1</xdr:colOff>
      <xdr:row>31</xdr:row>
      <xdr:rowOff>19050</xdr:rowOff>
    </xdr:to>
    <mc:AlternateContent xmlns:mc="http://schemas.openxmlformats.org/markup-compatibility/2006" xmlns:sle15="http://schemas.microsoft.com/office/drawing/2012/slicer">
      <mc:Choice Requires="sle15">
        <xdr:graphicFrame macro="">
          <xdr:nvGraphicFramePr>
            <xdr:cNvPr id="20" name="Tháng 2">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microsoft.com/office/drawing/2010/slicer">
              <sle:slicer xmlns:sle="http://schemas.microsoft.com/office/drawing/2010/slicer" name="Tháng 2"/>
            </a:graphicData>
          </a:graphic>
        </xdr:graphicFrame>
      </mc:Choice>
      <mc:Fallback xmlns="">
        <xdr:sp macro="" textlink="">
          <xdr:nvSpPr>
            <xdr:cNvPr id="0" name=""/>
            <xdr:cNvSpPr>
              <a:spLocks noTextEdit="1"/>
            </xdr:cNvSpPr>
          </xdr:nvSpPr>
          <xdr:spPr>
            <a:xfrm>
              <a:off x="9420226" y="3733800"/>
              <a:ext cx="3648074" cy="1304925"/>
            </a:xfrm>
            <a:prstGeom prst="rect">
              <a:avLst/>
            </a:prstGeom>
            <a:solidFill>
              <a:prstClr val="white"/>
            </a:solidFill>
            <a:ln w="1">
              <a:solidFill>
                <a:prstClr val="green"/>
              </a:solidFill>
            </a:ln>
          </xdr:spPr>
          <xdr:txBody>
            <a:bodyPr vertOverflow="clip" horzOverflow="clip"/>
            <a:lstStyle/>
            <a:p>
              <a:r>
                <a:rPr lang="vi-V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0</xdr:colOff>
      <xdr:row>23</xdr:row>
      <xdr:rowOff>0</xdr:rowOff>
    </xdr:from>
    <xdr:to>
      <xdr:col>16</xdr:col>
      <xdr:colOff>0</xdr:colOff>
      <xdr:row>42</xdr:row>
      <xdr:rowOff>9525</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0</xdr:row>
      <xdr:rowOff>152400</xdr:rowOff>
    </xdr:from>
    <xdr:to>
      <xdr:col>24</xdr:col>
      <xdr:colOff>0</xdr:colOff>
      <xdr:row>22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1</xdr:row>
      <xdr:rowOff>9524</xdr:rowOff>
    </xdr:from>
    <xdr:to>
      <xdr:col>13</xdr:col>
      <xdr:colOff>9525</xdr:colOff>
      <xdr:row>21</xdr:row>
      <xdr:rowOff>152400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20</xdr:col>
      <xdr:colOff>0</xdr:colOff>
      <xdr:row>1</xdr:row>
      <xdr:rowOff>9525</xdr:rowOff>
    </xdr:from>
    <xdr:to>
      <xdr:col>23</xdr:col>
      <xdr:colOff>613832</xdr:colOff>
      <xdr:row>7</xdr:row>
      <xdr:rowOff>0</xdr:rowOff>
    </xdr:to>
    <mc:AlternateContent xmlns:mc="http://schemas.openxmlformats.org/markup-compatibility/2006" xmlns:a14="http://schemas.microsoft.com/office/drawing/2010/main">
      <mc:Choice Requires="a14">
        <xdr:graphicFrame macro="">
          <xdr:nvGraphicFramePr>
            <xdr:cNvPr id="7" name="Week 2">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11915775" y="171450"/>
              <a:ext cx="2533649" cy="904876"/>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xdr:colOff>
      <xdr:row>1</xdr:row>
      <xdr:rowOff>1</xdr:rowOff>
    </xdr:from>
    <xdr:to>
      <xdr:col>9</xdr:col>
      <xdr:colOff>600076</xdr:colOff>
      <xdr:row>20</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17992</xdr:colOff>
      <xdr:row>1</xdr:row>
      <xdr:rowOff>40217</xdr:rowOff>
    </xdr:from>
    <xdr:to>
      <xdr:col>19</xdr:col>
      <xdr:colOff>17992</xdr:colOff>
      <xdr:row>21</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21</xdr:row>
      <xdr:rowOff>104774</xdr:rowOff>
    </xdr:from>
    <xdr:to>
      <xdr:col>13</xdr:col>
      <xdr:colOff>133350</xdr:colOff>
      <xdr:row>43</xdr:row>
      <xdr:rowOff>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212725</xdr:colOff>
      <xdr:row>21</xdr:row>
      <xdr:rowOff>133351</xdr:rowOff>
    </xdr:from>
    <xdr:to>
      <xdr:col>24</xdr:col>
      <xdr:colOff>0</xdr:colOff>
      <xdr:row>43</xdr:row>
      <xdr:rowOff>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20</xdr:row>
      <xdr:rowOff>0</xdr:rowOff>
    </xdr:from>
    <xdr:to>
      <xdr:col>23</xdr:col>
      <xdr:colOff>613832</xdr:colOff>
      <xdr:row>23</xdr:row>
      <xdr:rowOff>158749</xdr:rowOff>
    </xdr:to>
    <xdr:sp macro="[0]!refresh_data" textlink="">
      <xdr:nvSpPr>
        <xdr:cNvPr id="9" name="Rectangle: Rounded Corners 8">
          <a:extLst>
            <a:ext uri="{FF2B5EF4-FFF2-40B4-BE49-F238E27FC236}">
              <a16:creationId xmlns:a16="http://schemas.microsoft.com/office/drawing/2014/main" id="{EE895BD9-2827-BD44-A5CD-BC396331108A}"/>
            </a:ext>
          </a:extLst>
        </xdr:cNvPr>
        <xdr:cNvSpPr/>
      </xdr:nvSpPr>
      <xdr:spPr>
        <a:xfrm>
          <a:off x="12890500" y="3259667"/>
          <a:ext cx="1841499" cy="719665"/>
        </a:xfrm>
        <a:prstGeom prst="roundRect">
          <a:avLst/>
        </a:prstGeom>
        <a:solidFill>
          <a:schemeClr val="accent2">
            <a:lumMod val="40000"/>
            <a:lumOff val="60000"/>
          </a:schemeClr>
        </a:solidFill>
        <a:ln>
          <a:noFill/>
        </a:ln>
        <a:effectLst>
          <a:outerShdw blurRad="50800" dist="38100" dir="2700000" algn="tl"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Times New Roman" panose="02020603050405020304" pitchFamily="18" charset="0"/>
              <a:cs typeface="Times New Roman" panose="02020603050405020304" pitchFamily="18" charset="0"/>
            </a:rPr>
            <a:t>Refresh</a:t>
          </a:r>
          <a:r>
            <a:rPr lang="en-US" sz="1400" b="1" baseline="0">
              <a:solidFill>
                <a:sysClr val="windowText" lastClr="000000"/>
              </a:solidFill>
              <a:latin typeface="Times New Roman" panose="02020603050405020304" pitchFamily="18" charset="0"/>
              <a:cs typeface="Times New Roman" panose="02020603050405020304" pitchFamily="18" charset="0"/>
            </a:rPr>
            <a:t> Data</a:t>
          </a:r>
          <a:endParaRPr lang="vi-VN" sz="14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20</xdr:col>
      <xdr:colOff>0</xdr:colOff>
      <xdr:row>7</xdr:row>
      <xdr:rowOff>0</xdr:rowOff>
    </xdr:from>
    <xdr:to>
      <xdr:col>24</xdr:col>
      <xdr:colOff>0</xdr:colOff>
      <xdr:row>14</xdr:row>
      <xdr:rowOff>0</xdr:rowOff>
    </xdr:to>
    <mc:AlternateContent xmlns:mc="http://schemas.openxmlformats.org/markup-compatibility/2006" xmlns:a14="http://schemas.microsoft.com/office/drawing/2010/main">
      <mc:Choice Requires="a14">
        <xdr:graphicFrame macro="">
          <xdr:nvGraphicFramePr>
            <xdr:cNvPr id="6" name="Buổi tập 2">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Buổi tập 2"/>
            </a:graphicData>
          </a:graphic>
        </xdr:graphicFrame>
      </mc:Choice>
      <mc:Fallback xmlns="">
        <xdr:sp macro="" textlink="">
          <xdr:nvSpPr>
            <xdr:cNvPr id="0" name=""/>
            <xdr:cNvSpPr>
              <a:spLocks noTextEdit="1"/>
            </xdr:cNvSpPr>
          </xdr:nvSpPr>
          <xdr:spPr>
            <a:xfrm>
              <a:off x="11986683" y="1066800"/>
              <a:ext cx="2560109" cy="1130300"/>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14</xdr:row>
      <xdr:rowOff>0</xdr:rowOff>
    </xdr:from>
    <xdr:to>
      <xdr:col>23</xdr:col>
      <xdr:colOff>613832</xdr:colOff>
      <xdr:row>20</xdr:row>
      <xdr:rowOff>0</xdr:rowOff>
    </xdr:to>
    <mc:AlternateContent xmlns:mc="http://schemas.openxmlformats.org/markup-compatibility/2006" xmlns:a14="http://schemas.microsoft.com/office/drawing/2010/main">
      <mc:Choice Requires="a14">
        <xdr:graphicFrame macro="">
          <xdr:nvGraphicFramePr>
            <xdr:cNvPr id="8" name="Nhóm cơ 2">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Nhóm cơ 2"/>
            </a:graphicData>
          </a:graphic>
        </xdr:graphicFrame>
      </mc:Choice>
      <mc:Fallback xmlns="">
        <xdr:sp macro="" textlink="">
          <xdr:nvSpPr>
            <xdr:cNvPr id="0" name=""/>
            <xdr:cNvSpPr>
              <a:spLocks noTextEdit="1"/>
            </xdr:cNvSpPr>
          </xdr:nvSpPr>
          <xdr:spPr>
            <a:xfrm>
              <a:off x="12276667" y="2222500"/>
              <a:ext cx="2455332" cy="1037167"/>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C" refreshedDate="45360.658953009261" createdVersion="8" refreshedVersion="8" minRefreshableVersion="3" recordCount="144" xr:uid="{3A8B8CBB-09C0-4460-A489-FE7CACC41536}">
  <cacheSource type="worksheet">
    <worksheetSource name="Table2"/>
  </cacheSource>
  <cacheFields count="9">
    <cacheField name="Buổi tập" numFmtId="0">
      <sharedItems count="6">
        <s v="Workout 1"/>
        <s v="Workout 2"/>
        <s v="Workout 3"/>
        <s v="Workout 4"/>
        <s v="Workout 5"/>
        <s v="Workout 6"/>
      </sharedItems>
    </cacheField>
    <cacheField name="Week" numFmtId="0">
      <sharedItems count="4">
        <s v="Week 1"/>
        <s v="Week 2"/>
        <s v="Week 3"/>
        <s v="Week 4"/>
      </sharedItems>
    </cacheField>
    <cacheField name="Exercise" numFmtId="0">
      <sharedItems containsMixedTypes="1" containsNumber="1" containsInteger="1" minValue="0" maxValue="0"/>
    </cacheField>
    <cacheField name="Nhóm cơ Sript" numFmtId="0">
      <sharedItems/>
    </cacheField>
    <cacheField name="Detail Script" numFmtId="0">
      <sharedItems/>
    </cacheField>
    <cacheField name="Nhóm cơ" numFmtId="0">
      <sharedItems containsMixedTypes="1" containsNumber="1" containsInteger="1" minValue="0" maxValue="0" count="6">
        <s v="Leg"/>
        <s v="Chest"/>
        <s v="Back"/>
        <s v="Core"/>
        <s v="Shoulder"/>
        <n v="0" u="1"/>
      </sharedItems>
    </cacheField>
    <cacheField name="Nhóm cơ cụ thể" numFmtId="0">
      <sharedItems count="11">
        <s v="Quads"/>
        <s v="Hamstring"/>
        <s v="Upper Chest"/>
        <s v="Lats"/>
        <s v="Abs"/>
        <s v="Middle Chest"/>
        <s v="Front Delt"/>
        <s v="Mid Delt" u="1"/>
        <s v="Triceps" u="1"/>
        <s v="Biceps" u="1"/>
        <s v="Calves" u="1"/>
      </sharedItems>
    </cacheField>
    <cacheField name="Set" numFmtId="0">
      <sharedItems containsSemiMixedTypes="0" containsString="0" containsNumber="1" containsInteger="1" minValue="0" maxValue="4"/>
    </cacheField>
    <cacheField name="Volume" numFmtId="0">
      <sharedItems containsSemiMixedTypes="0" containsString="0" containsNumber="1" containsInteger="1" minValue="0" maxValue="780"/>
    </cacheField>
  </cacheFields>
  <extLst>
    <ext xmlns:x14="http://schemas.microsoft.com/office/spreadsheetml/2009/9/main" uri="{725AE2AE-9491-48be-B2B4-4EB974FC3084}">
      <x14:pivotCacheDefinition pivotCacheId="18733432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x v="0"/>
    <x v="0"/>
    <s v="Squats"/>
    <s v="Leg"/>
    <s v="Quads"/>
    <x v="0"/>
    <x v="0"/>
    <n v="4"/>
    <n v="420"/>
  </r>
  <r>
    <x v="0"/>
    <x v="0"/>
    <s v="Lying Leg Curl"/>
    <s v="Leg"/>
    <s v="Hamstring"/>
    <x v="0"/>
    <x v="1"/>
    <n v="4"/>
    <n v="750"/>
  </r>
  <r>
    <x v="0"/>
    <x v="0"/>
    <s v="DB Incline Press"/>
    <s v="Chest"/>
    <s v="Upper Chest"/>
    <x v="1"/>
    <x v="2"/>
    <n v="4"/>
    <n v="750"/>
  </r>
  <r>
    <x v="0"/>
    <x v="0"/>
    <s v="Cable Row"/>
    <s v="Back"/>
    <s v="Lats"/>
    <x v="2"/>
    <x v="3"/>
    <n v="3"/>
    <n v="750"/>
  </r>
  <r>
    <x v="0"/>
    <x v="0"/>
    <s v="Plank"/>
    <s v="Core"/>
    <s v="Abs"/>
    <x v="3"/>
    <x v="4"/>
    <n v="0"/>
    <n v="0"/>
  </r>
  <r>
    <x v="0"/>
    <x v="0"/>
    <n v="0"/>
    <s v="Chest"/>
    <s v="Upper Chest"/>
    <x v="0"/>
    <x v="0"/>
    <n v="0"/>
    <n v="0"/>
  </r>
  <r>
    <x v="1"/>
    <x v="0"/>
    <s v="BB Bench Press"/>
    <s v="Chest"/>
    <s v="Middle Chest"/>
    <x v="1"/>
    <x v="5"/>
    <n v="4"/>
    <n v="360"/>
  </r>
  <r>
    <x v="1"/>
    <x v="0"/>
    <s v="Cable Fly "/>
    <s v="Chest"/>
    <s v="Middle Chest"/>
    <x v="1"/>
    <x v="5"/>
    <n v="3"/>
    <n v="780"/>
  </r>
  <r>
    <x v="1"/>
    <x v="0"/>
    <s v="Conventional Deadlift"/>
    <s v="Leg"/>
    <s v="Hamstring"/>
    <x v="0"/>
    <x v="1"/>
    <n v="0"/>
    <n v="0"/>
  </r>
  <r>
    <x v="1"/>
    <x v="0"/>
    <s v="Lat Pull Down"/>
    <s v="Back"/>
    <s v="Lats"/>
    <x v="2"/>
    <x v="3"/>
    <n v="0"/>
    <n v="0"/>
  </r>
  <r>
    <x v="1"/>
    <x v="0"/>
    <s v="Crunch"/>
    <s v="Core"/>
    <s v="Abs"/>
    <x v="3"/>
    <x v="4"/>
    <n v="0"/>
    <n v="0"/>
  </r>
  <r>
    <x v="1"/>
    <x v="0"/>
    <n v="0"/>
    <s v="Chest"/>
    <s v="Upper Chest"/>
    <x v="0"/>
    <x v="0"/>
    <n v="0"/>
    <n v="0"/>
  </r>
  <r>
    <x v="2"/>
    <x v="0"/>
    <s v="Pull Up"/>
    <s v="Back"/>
    <s v="Lats"/>
    <x v="2"/>
    <x v="3"/>
    <n v="4"/>
    <n v="360"/>
  </r>
  <r>
    <x v="2"/>
    <x v="0"/>
    <s v="Cable Upright Row"/>
    <s v="Back"/>
    <s v="Lats"/>
    <x v="2"/>
    <x v="3"/>
    <n v="3"/>
    <n v="585"/>
  </r>
  <r>
    <x v="2"/>
    <x v="0"/>
    <s v="Leg Press"/>
    <s v="Leg"/>
    <s v="Quads"/>
    <x v="0"/>
    <x v="0"/>
    <n v="3"/>
    <n v="390"/>
  </r>
  <r>
    <x v="2"/>
    <x v="0"/>
    <s v="Shoulder Press Machine"/>
    <s v="Shoulder"/>
    <s v="Front Delt"/>
    <x v="4"/>
    <x v="6"/>
    <n v="3"/>
    <n v="390"/>
  </r>
  <r>
    <x v="2"/>
    <x v="0"/>
    <s v="Hanging Leg Raise"/>
    <s v="Core"/>
    <s v="Abs"/>
    <x v="3"/>
    <x v="4"/>
    <n v="3"/>
    <n v="360"/>
  </r>
  <r>
    <x v="2"/>
    <x v="0"/>
    <n v="0"/>
    <s v="Chest"/>
    <s v="Upper Chest"/>
    <x v="0"/>
    <x v="0"/>
    <n v="0"/>
    <n v="0"/>
  </r>
  <r>
    <x v="3"/>
    <x v="0"/>
    <n v="0"/>
    <s v="Chest"/>
    <s v="Upper Chest"/>
    <x v="0"/>
    <x v="0"/>
    <n v="0"/>
    <n v="0"/>
  </r>
  <r>
    <x v="3"/>
    <x v="0"/>
    <n v="0"/>
    <s v="Chest"/>
    <s v="Upper Chest"/>
    <x v="0"/>
    <x v="0"/>
    <n v="0"/>
    <n v="0"/>
  </r>
  <r>
    <x v="3"/>
    <x v="0"/>
    <n v="0"/>
    <s v="Chest"/>
    <s v="Upper Chest"/>
    <x v="0"/>
    <x v="0"/>
    <n v="0"/>
    <n v="0"/>
  </r>
  <r>
    <x v="3"/>
    <x v="0"/>
    <n v="0"/>
    <s v="Chest"/>
    <s v="Upper Chest"/>
    <x v="0"/>
    <x v="0"/>
    <n v="0"/>
    <n v="0"/>
  </r>
  <r>
    <x v="3"/>
    <x v="0"/>
    <n v="0"/>
    <s v="Chest"/>
    <s v="Upper Chest"/>
    <x v="0"/>
    <x v="0"/>
    <n v="0"/>
    <n v="0"/>
  </r>
  <r>
    <x v="3"/>
    <x v="0"/>
    <n v="0"/>
    <s v="Chest"/>
    <s v="Upper Chest"/>
    <x v="0"/>
    <x v="0"/>
    <n v="0"/>
    <n v="0"/>
  </r>
  <r>
    <x v="4"/>
    <x v="0"/>
    <n v="0"/>
    <s v="Chest"/>
    <s v="Upper Chest"/>
    <x v="0"/>
    <x v="0"/>
    <n v="0"/>
    <n v="0"/>
  </r>
  <r>
    <x v="4"/>
    <x v="0"/>
    <n v="0"/>
    <s v="Chest"/>
    <s v="Upper Chest"/>
    <x v="0"/>
    <x v="0"/>
    <n v="0"/>
    <n v="0"/>
  </r>
  <r>
    <x v="4"/>
    <x v="0"/>
    <n v="0"/>
    <s v="Chest"/>
    <s v="Upper Chest"/>
    <x v="0"/>
    <x v="0"/>
    <n v="0"/>
    <n v="0"/>
  </r>
  <r>
    <x v="4"/>
    <x v="0"/>
    <n v="0"/>
    <s v="Chest"/>
    <s v="Upper Chest"/>
    <x v="0"/>
    <x v="0"/>
    <n v="0"/>
    <n v="0"/>
  </r>
  <r>
    <x v="4"/>
    <x v="0"/>
    <n v="0"/>
    <s v="Chest"/>
    <s v="Upper Chest"/>
    <x v="0"/>
    <x v="0"/>
    <n v="0"/>
    <n v="0"/>
  </r>
  <r>
    <x v="4"/>
    <x v="0"/>
    <n v="0"/>
    <s v="Chest"/>
    <s v="Upper Chest"/>
    <x v="0"/>
    <x v="0"/>
    <n v="0"/>
    <n v="0"/>
  </r>
  <r>
    <x v="5"/>
    <x v="0"/>
    <n v="0"/>
    <s v="Chest"/>
    <s v="Upper Chest"/>
    <x v="0"/>
    <x v="0"/>
    <n v="0"/>
    <n v="0"/>
  </r>
  <r>
    <x v="5"/>
    <x v="0"/>
    <n v="0"/>
    <s v="Chest"/>
    <s v="Upper Chest"/>
    <x v="0"/>
    <x v="0"/>
    <n v="0"/>
    <n v="0"/>
  </r>
  <r>
    <x v="5"/>
    <x v="0"/>
    <n v="0"/>
    <s v="Chest"/>
    <s v="Upper Chest"/>
    <x v="0"/>
    <x v="0"/>
    <n v="0"/>
    <n v="0"/>
  </r>
  <r>
    <x v="5"/>
    <x v="0"/>
    <n v="0"/>
    <s v="Chest"/>
    <s v="Upper Chest"/>
    <x v="0"/>
    <x v="0"/>
    <n v="0"/>
    <n v="0"/>
  </r>
  <r>
    <x v="5"/>
    <x v="0"/>
    <n v="0"/>
    <s v="Chest"/>
    <s v="Upper Chest"/>
    <x v="0"/>
    <x v="0"/>
    <n v="0"/>
    <n v="0"/>
  </r>
  <r>
    <x v="5"/>
    <x v="0"/>
    <n v="0"/>
    <s v="Chest"/>
    <s v="Upper Chest"/>
    <x v="0"/>
    <x v="0"/>
    <n v="0"/>
    <n v="0"/>
  </r>
  <r>
    <x v="0"/>
    <x v="1"/>
    <n v="0"/>
    <s v="Chest"/>
    <s v="Upper Chest"/>
    <x v="0"/>
    <x v="0"/>
    <n v="0"/>
    <n v="0"/>
  </r>
  <r>
    <x v="0"/>
    <x v="1"/>
    <n v="0"/>
    <s v="Chest"/>
    <s v="Upper Chest"/>
    <x v="0"/>
    <x v="0"/>
    <n v="0"/>
    <n v="0"/>
  </r>
  <r>
    <x v="0"/>
    <x v="1"/>
    <n v="0"/>
    <s v="Chest"/>
    <s v="Upper Chest"/>
    <x v="0"/>
    <x v="0"/>
    <n v="0"/>
    <n v="0"/>
  </r>
  <r>
    <x v="0"/>
    <x v="1"/>
    <n v="0"/>
    <s v="Chest"/>
    <s v="Upper Chest"/>
    <x v="0"/>
    <x v="0"/>
    <n v="0"/>
    <n v="0"/>
  </r>
  <r>
    <x v="0"/>
    <x v="1"/>
    <n v="0"/>
    <s v="Chest"/>
    <s v="Upper Chest"/>
    <x v="0"/>
    <x v="0"/>
    <n v="0"/>
    <n v="0"/>
  </r>
  <r>
    <x v="0"/>
    <x v="1"/>
    <n v="0"/>
    <s v="Chest"/>
    <s v="Upper Chest"/>
    <x v="0"/>
    <x v="0"/>
    <n v="0"/>
    <n v="0"/>
  </r>
  <r>
    <x v="1"/>
    <x v="1"/>
    <n v="0"/>
    <s v="Chest"/>
    <s v="Upper Chest"/>
    <x v="0"/>
    <x v="0"/>
    <n v="0"/>
    <n v="0"/>
  </r>
  <r>
    <x v="1"/>
    <x v="1"/>
    <n v="0"/>
    <s v="Chest"/>
    <s v="Upper Chest"/>
    <x v="0"/>
    <x v="0"/>
    <n v="0"/>
    <n v="0"/>
  </r>
  <r>
    <x v="1"/>
    <x v="1"/>
    <n v="0"/>
    <s v="Chest"/>
    <s v="Upper Chest"/>
    <x v="0"/>
    <x v="0"/>
    <n v="0"/>
    <n v="0"/>
  </r>
  <r>
    <x v="1"/>
    <x v="1"/>
    <n v="0"/>
    <s v="Chest"/>
    <s v="Upper Chest"/>
    <x v="0"/>
    <x v="0"/>
    <n v="0"/>
    <n v="0"/>
  </r>
  <r>
    <x v="1"/>
    <x v="1"/>
    <n v="0"/>
    <s v="Chest"/>
    <s v="Upper Chest"/>
    <x v="0"/>
    <x v="0"/>
    <n v="0"/>
    <n v="0"/>
  </r>
  <r>
    <x v="1"/>
    <x v="1"/>
    <n v="0"/>
    <s v="Chest"/>
    <s v="Upper Chest"/>
    <x v="0"/>
    <x v="0"/>
    <n v="0"/>
    <n v="0"/>
  </r>
  <r>
    <x v="2"/>
    <x v="1"/>
    <n v="0"/>
    <s v="Chest"/>
    <s v="Upper Chest"/>
    <x v="0"/>
    <x v="0"/>
    <n v="0"/>
    <n v="0"/>
  </r>
  <r>
    <x v="2"/>
    <x v="1"/>
    <n v="0"/>
    <s v="Chest"/>
    <s v="Upper Chest"/>
    <x v="0"/>
    <x v="0"/>
    <n v="0"/>
    <n v="0"/>
  </r>
  <r>
    <x v="2"/>
    <x v="1"/>
    <n v="0"/>
    <s v="Chest"/>
    <s v="Upper Chest"/>
    <x v="0"/>
    <x v="0"/>
    <n v="0"/>
    <n v="0"/>
  </r>
  <r>
    <x v="2"/>
    <x v="1"/>
    <n v="0"/>
    <s v="Chest"/>
    <s v="Upper Chest"/>
    <x v="0"/>
    <x v="0"/>
    <n v="0"/>
    <n v="0"/>
  </r>
  <r>
    <x v="2"/>
    <x v="1"/>
    <n v="0"/>
    <s v="Chest"/>
    <s v="Upper Chest"/>
    <x v="0"/>
    <x v="0"/>
    <n v="0"/>
    <n v="0"/>
  </r>
  <r>
    <x v="2"/>
    <x v="1"/>
    <n v="0"/>
    <s v="Chest"/>
    <s v="Upper Chest"/>
    <x v="0"/>
    <x v="0"/>
    <n v="0"/>
    <n v="0"/>
  </r>
  <r>
    <x v="3"/>
    <x v="1"/>
    <n v="0"/>
    <s v="Chest"/>
    <s v="Upper Chest"/>
    <x v="0"/>
    <x v="0"/>
    <n v="0"/>
    <n v="0"/>
  </r>
  <r>
    <x v="3"/>
    <x v="1"/>
    <n v="0"/>
    <s v="Chest"/>
    <s v="Upper Chest"/>
    <x v="0"/>
    <x v="0"/>
    <n v="0"/>
    <n v="0"/>
  </r>
  <r>
    <x v="3"/>
    <x v="1"/>
    <n v="0"/>
    <s v="Chest"/>
    <s v="Upper Chest"/>
    <x v="0"/>
    <x v="0"/>
    <n v="0"/>
    <n v="0"/>
  </r>
  <r>
    <x v="3"/>
    <x v="1"/>
    <n v="0"/>
    <s v="Chest"/>
    <s v="Upper Chest"/>
    <x v="0"/>
    <x v="0"/>
    <n v="0"/>
    <n v="0"/>
  </r>
  <r>
    <x v="3"/>
    <x v="1"/>
    <n v="0"/>
    <s v="Chest"/>
    <s v="Upper Chest"/>
    <x v="0"/>
    <x v="0"/>
    <n v="0"/>
    <n v="0"/>
  </r>
  <r>
    <x v="3"/>
    <x v="1"/>
    <n v="0"/>
    <s v="Chest"/>
    <s v="Upper Chest"/>
    <x v="0"/>
    <x v="0"/>
    <n v="0"/>
    <n v="0"/>
  </r>
  <r>
    <x v="4"/>
    <x v="1"/>
    <n v="0"/>
    <s v="Chest"/>
    <s v="Upper Chest"/>
    <x v="0"/>
    <x v="0"/>
    <n v="0"/>
    <n v="0"/>
  </r>
  <r>
    <x v="4"/>
    <x v="1"/>
    <n v="0"/>
    <s v="Chest"/>
    <s v="Upper Chest"/>
    <x v="0"/>
    <x v="0"/>
    <n v="0"/>
    <n v="0"/>
  </r>
  <r>
    <x v="4"/>
    <x v="1"/>
    <n v="0"/>
    <s v="Chest"/>
    <s v="Upper Chest"/>
    <x v="0"/>
    <x v="0"/>
    <n v="0"/>
    <n v="0"/>
  </r>
  <r>
    <x v="4"/>
    <x v="1"/>
    <n v="0"/>
    <s v="Chest"/>
    <s v="Upper Chest"/>
    <x v="0"/>
    <x v="0"/>
    <n v="0"/>
    <n v="0"/>
  </r>
  <r>
    <x v="4"/>
    <x v="1"/>
    <n v="0"/>
    <s v="Chest"/>
    <s v="Upper Chest"/>
    <x v="0"/>
    <x v="0"/>
    <n v="0"/>
    <n v="0"/>
  </r>
  <r>
    <x v="4"/>
    <x v="1"/>
    <n v="0"/>
    <s v="Chest"/>
    <s v="Upper Chest"/>
    <x v="0"/>
    <x v="0"/>
    <n v="0"/>
    <n v="0"/>
  </r>
  <r>
    <x v="5"/>
    <x v="1"/>
    <n v="0"/>
    <s v="Chest"/>
    <s v="Upper Chest"/>
    <x v="0"/>
    <x v="0"/>
    <n v="0"/>
    <n v="0"/>
  </r>
  <r>
    <x v="5"/>
    <x v="1"/>
    <n v="0"/>
    <s v="Chest"/>
    <s v="Upper Chest"/>
    <x v="0"/>
    <x v="0"/>
    <n v="0"/>
    <n v="0"/>
  </r>
  <r>
    <x v="5"/>
    <x v="1"/>
    <n v="0"/>
    <s v="Chest"/>
    <s v="Upper Chest"/>
    <x v="0"/>
    <x v="0"/>
    <n v="0"/>
    <n v="0"/>
  </r>
  <r>
    <x v="5"/>
    <x v="1"/>
    <n v="0"/>
    <s v="Chest"/>
    <s v="Upper Chest"/>
    <x v="0"/>
    <x v="0"/>
    <n v="0"/>
    <n v="0"/>
  </r>
  <r>
    <x v="5"/>
    <x v="1"/>
    <n v="0"/>
    <s v="Chest"/>
    <s v="Upper Chest"/>
    <x v="0"/>
    <x v="0"/>
    <n v="0"/>
    <n v="0"/>
  </r>
  <r>
    <x v="5"/>
    <x v="1"/>
    <n v="0"/>
    <s v="Chest"/>
    <s v="Upper Chest"/>
    <x v="0"/>
    <x v="0"/>
    <n v="0"/>
    <n v="0"/>
  </r>
  <r>
    <x v="0"/>
    <x v="2"/>
    <n v="0"/>
    <s v="Chest"/>
    <s v="Upper Chest"/>
    <x v="0"/>
    <x v="0"/>
    <n v="0"/>
    <n v="0"/>
  </r>
  <r>
    <x v="0"/>
    <x v="2"/>
    <n v="0"/>
    <s v="Chest"/>
    <s v="Upper Chest"/>
    <x v="0"/>
    <x v="0"/>
    <n v="0"/>
    <n v="0"/>
  </r>
  <r>
    <x v="0"/>
    <x v="2"/>
    <n v="0"/>
    <s v="Chest"/>
    <s v="Upper Chest"/>
    <x v="0"/>
    <x v="0"/>
    <n v="0"/>
    <n v="0"/>
  </r>
  <r>
    <x v="0"/>
    <x v="2"/>
    <n v="0"/>
    <s v="Chest"/>
    <s v="Upper Chest"/>
    <x v="0"/>
    <x v="0"/>
    <n v="0"/>
    <n v="0"/>
  </r>
  <r>
    <x v="0"/>
    <x v="2"/>
    <n v="0"/>
    <s v="Chest"/>
    <s v="Upper Chest"/>
    <x v="0"/>
    <x v="0"/>
    <n v="0"/>
    <n v="0"/>
  </r>
  <r>
    <x v="0"/>
    <x v="2"/>
    <n v="0"/>
    <s v="Chest"/>
    <s v="Upper Chest"/>
    <x v="0"/>
    <x v="0"/>
    <n v="0"/>
    <n v="0"/>
  </r>
  <r>
    <x v="1"/>
    <x v="2"/>
    <n v="0"/>
    <s v="Chest"/>
    <s v="Upper Chest"/>
    <x v="0"/>
    <x v="0"/>
    <n v="0"/>
    <n v="0"/>
  </r>
  <r>
    <x v="1"/>
    <x v="2"/>
    <n v="0"/>
    <s v="Chest"/>
    <s v="Upper Chest"/>
    <x v="0"/>
    <x v="0"/>
    <n v="0"/>
    <n v="0"/>
  </r>
  <r>
    <x v="1"/>
    <x v="2"/>
    <n v="0"/>
    <s v="Chest"/>
    <s v="Upper Chest"/>
    <x v="0"/>
    <x v="0"/>
    <n v="0"/>
    <n v="0"/>
  </r>
  <r>
    <x v="1"/>
    <x v="2"/>
    <n v="0"/>
    <s v="Chest"/>
    <s v="Upper Chest"/>
    <x v="0"/>
    <x v="0"/>
    <n v="0"/>
    <n v="0"/>
  </r>
  <r>
    <x v="1"/>
    <x v="2"/>
    <n v="0"/>
    <s v="Chest"/>
    <s v="Upper Chest"/>
    <x v="0"/>
    <x v="0"/>
    <n v="0"/>
    <n v="0"/>
  </r>
  <r>
    <x v="1"/>
    <x v="2"/>
    <n v="0"/>
    <s v="Chest"/>
    <s v="Upper Chest"/>
    <x v="0"/>
    <x v="0"/>
    <n v="0"/>
    <n v="0"/>
  </r>
  <r>
    <x v="2"/>
    <x v="2"/>
    <n v="0"/>
    <s v="Chest"/>
    <s v="Upper Chest"/>
    <x v="0"/>
    <x v="0"/>
    <n v="0"/>
    <n v="0"/>
  </r>
  <r>
    <x v="2"/>
    <x v="2"/>
    <n v="0"/>
    <s v="Chest"/>
    <s v="Upper Chest"/>
    <x v="0"/>
    <x v="0"/>
    <n v="0"/>
    <n v="0"/>
  </r>
  <r>
    <x v="2"/>
    <x v="2"/>
    <n v="0"/>
    <s v="Chest"/>
    <s v="Upper Chest"/>
    <x v="0"/>
    <x v="0"/>
    <n v="0"/>
    <n v="0"/>
  </r>
  <r>
    <x v="2"/>
    <x v="2"/>
    <n v="0"/>
    <s v="Chest"/>
    <s v="Upper Chest"/>
    <x v="0"/>
    <x v="0"/>
    <n v="0"/>
    <n v="0"/>
  </r>
  <r>
    <x v="2"/>
    <x v="2"/>
    <n v="0"/>
    <s v="Chest"/>
    <s v="Upper Chest"/>
    <x v="0"/>
    <x v="0"/>
    <n v="0"/>
    <n v="0"/>
  </r>
  <r>
    <x v="2"/>
    <x v="2"/>
    <n v="0"/>
    <s v="Chest"/>
    <s v="Upper Chest"/>
    <x v="0"/>
    <x v="0"/>
    <n v="0"/>
    <n v="0"/>
  </r>
  <r>
    <x v="3"/>
    <x v="2"/>
    <n v="0"/>
    <s v="Chest"/>
    <s v="Upper Chest"/>
    <x v="0"/>
    <x v="0"/>
    <n v="0"/>
    <n v="0"/>
  </r>
  <r>
    <x v="3"/>
    <x v="2"/>
    <n v="0"/>
    <s v="Chest"/>
    <s v="Upper Chest"/>
    <x v="0"/>
    <x v="0"/>
    <n v="0"/>
    <n v="0"/>
  </r>
  <r>
    <x v="3"/>
    <x v="2"/>
    <n v="0"/>
    <s v="Chest"/>
    <s v="Upper Chest"/>
    <x v="0"/>
    <x v="0"/>
    <n v="0"/>
    <n v="0"/>
  </r>
  <r>
    <x v="3"/>
    <x v="2"/>
    <n v="0"/>
    <s v="Chest"/>
    <s v="Upper Chest"/>
    <x v="0"/>
    <x v="0"/>
    <n v="0"/>
    <n v="0"/>
  </r>
  <r>
    <x v="3"/>
    <x v="2"/>
    <n v="0"/>
    <s v="Chest"/>
    <s v="Upper Chest"/>
    <x v="0"/>
    <x v="0"/>
    <n v="0"/>
    <n v="0"/>
  </r>
  <r>
    <x v="3"/>
    <x v="2"/>
    <n v="0"/>
    <s v="Chest"/>
    <s v="Upper Chest"/>
    <x v="0"/>
    <x v="0"/>
    <n v="0"/>
    <n v="0"/>
  </r>
  <r>
    <x v="4"/>
    <x v="2"/>
    <n v="0"/>
    <s v="Chest"/>
    <s v="Upper Chest"/>
    <x v="0"/>
    <x v="0"/>
    <n v="0"/>
    <n v="0"/>
  </r>
  <r>
    <x v="4"/>
    <x v="2"/>
    <n v="0"/>
    <s v="Chest"/>
    <s v="Upper Chest"/>
    <x v="0"/>
    <x v="0"/>
    <n v="0"/>
    <n v="0"/>
  </r>
  <r>
    <x v="4"/>
    <x v="2"/>
    <n v="0"/>
    <s v="Chest"/>
    <s v="Upper Chest"/>
    <x v="0"/>
    <x v="0"/>
    <n v="0"/>
    <n v="0"/>
  </r>
  <r>
    <x v="4"/>
    <x v="2"/>
    <n v="0"/>
    <s v="Chest"/>
    <s v="Upper Chest"/>
    <x v="0"/>
    <x v="0"/>
    <n v="0"/>
    <n v="0"/>
  </r>
  <r>
    <x v="4"/>
    <x v="2"/>
    <n v="0"/>
    <s v="Chest"/>
    <s v="Upper Chest"/>
    <x v="0"/>
    <x v="0"/>
    <n v="0"/>
    <n v="0"/>
  </r>
  <r>
    <x v="4"/>
    <x v="2"/>
    <n v="0"/>
    <s v="Chest"/>
    <s v="Upper Chest"/>
    <x v="0"/>
    <x v="0"/>
    <n v="0"/>
    <n v="0"/>
  </r>
  <r>
    <x v="5"/>
    <x v="2"/>
    <n v="0"/>
    <s v="Chest"/>
    <s v="Upper Chest"/>
    <x v="0"/>
    <x v="0"/>
    <n v="0"/>
    <n v="0"/>
  </r>
  <r>
    <x v="5"/>
    <x v="2"/>
    <n v="0"/>
    <s v="Chest"/>
    <s v="Upper Chest"/>
    <x v="0"/>
    <x v="0"/>
    <n v="0"/>
    <n v="0"/>
  </r>
  <r>
    <x v="5"/>
    <x v="2"/>
    <n v="0"/>
    <s v="Chest"/>
    <s v="Upper Chest"/>
    <x v="0"/>
    <x v="0"/>
    <n v="0"/>
    <n v="0"/>
  </r>
  <r>
    <x v="5"/>
    <x v="2"/>
    <n v="0"/>
    <s v="Chest"/>
    <s v="Upper Chest"/>
    <x v="0"/>
    <x v="0"/>
    <n v="0"/>
    <n v="0"/>
  </r>
  <r>
    <x v="5"/>
    <x v="2"/>
    <n v="0"/>
    <s v="Chest"/>
    <s v="Upper Chest"/>
    <x v="0"/>
    <x v="0"/>
    <n v="0"/>
    <n v="0"/>
  </r>
  <r>
    <x v="5"/>
    <x v="2"/>
    <n v="0"/>
    <s v="Chest"/>
    <s v="Upper Chest"/>
    <x v="0"/>
    <x v="0"/>
    <n v="0"/>
    <n v="0"/>
  </r>
  <r>
    <x v="0"/>
    <x v="3"/>
    <n v="0"/>
    <s v="Chest"/>
    <s v="Upper Chest"/>
    <x v="0"/>
    <x v="0"/>
    <n v="0"/>
    <n v="0"/>
  </r>
  <r>
    <x v="0"/>
    <x v="3"/>
    <n v="0"/>
    <s v="Chest"/>
    <s v="Upper Chest"/>
    <x v="0"/>
    <x v="0"/>
    <n v="0"/>
    <n v="0"/>
  </r>
  <r>
    <x v="0"/>
    <x v="3"/>
    <n v="0"/>
    <s v="Chest"/>
    <s v="Upper Chest"/>
    <x v="0"/>
    <x v="0"/>
    <n v="0"/>
    <n v="0"/>
  </r>
  <r>
    <x v="0"/>
    <x v="3"/>
    <n v="0"/>
    <s v="Chest"/>
    <s v="Upper Chest"/>
    <x v="0"/>
    <x v="0"/>
    <n v="0"/>
    <n v="0"/>
  </r>
  <r>
    <x v="0"/>
    <x v="3"/>
    <n v="0"/>
    <s v="Chest"/>
    <s v="Upper Chest"/>
    <x v="0"/>
    <x v="0"/>
    <n v="0"/>
    <n v="0"/>
  </r>
  <r>
    <x v="0"/>
    <x v="3"/>
    <n v="0"/>
    <s v="Chest"/>
    <s v="Upper Chest"/>
    <x v="0"/>
    <x v="0"/>
    <n v="0"/>
    <n v="0"/>
  </r>
  <r>
    <x v="1"/>
    <x v="3"/>
    <n v="0"/>
    <s v="Chest"/>
    <s v="Upper Chest"/>
    <x v="0"/>
    <x v="0"/>
    <n v="0"/>
    <n v="0"/>
  </r>
  <r>
    <x v="1"/>
    <x v="3"/>
    <n v="0"/>
    <s v="Chest"/>
    <s v="Upper Chest"/>
    <x v="0"/>
    <x v="0"/>
    <n v="0"/>
    <n v="0"/>
  </r>
  <r>
    <x v="1"/>
    <x v="3"/>
    <n v="0"/>
    <s v="Chest"/>
    <s v="Upper Chest"/>
    <x v="0"/>
    <x v="0"/>
    <n v="0"/>
    <n v="0"/>
  </r>
  <r>
    <x v="1"/>
    <x v="3"/>
    <n v="0"/>
    <s v="Chest"/>
    <s v="Upper Chest"/>
    <x v="0"/>
    <x v="0"/>
    <n v="0"/>
    <n v="0"/>
  </r>
  <r>
    <x v="1"/>
    <x v="3"/>
    <n v="0"/>
    <s v="Chest"/>
    <s v="Upper Chest"/>
    <x v="0"/>
    <x v="0"/>
    <n v="0"/>
    <n v="0"/>
  </r>
  <r>
    <x v="1"/>
    <x v="3"/>
    <n v="0"/>
    <s v="Chest"/>
    <s v="Upper Chest"/>
    <x v="0"/>
    <x v="0"/>
    <n v="0"/>
    <n v="0"/>
  </r>
  <r>
    <x v="2"/>
    <x v="3"/>
    <n v="0"/>
    <s v="Chest"/>
    <s v="Upper Chest"/>
    <x v="0"/>
    <x v="0"/>
    <n v="0"/>
    <n v="0"/>
  </r>
  <r>
    <x v="2"/>
    <x v="3"/>
    <n v="0"/>
    <s v="Chest"/>
    <s v="Upper Chest"/>
    <x v="0"/>
    <x v="0"/>
    <n v="0"/>
    <n v="0"/>
  </r>
  <r>
    <x v="2"/>
    <x v="3"/>
    <n v="0"/>
    <s v="Chest"/>
    <s v="Upper Chest"/>
    <x v="0"/>
    <x v="0"/>
    <n v="0"/>
    <n v="0"/>
  </r>
  <r>
    <x v="2"/>
    <x v="3"/>
    <n v="0"/>
    <s v="Chest"/>
    <s v="Upper Chest"/>
    <x v="0"/>
    <x v="0"/>
    <n v="0"/>
    <n v="0"/>
  </r>
  <r>
    <x v="2"/>
    <x v="3"/>
    <n v="0"/>
    <s v="Chest"/>
    <s v="Upper Chest"/>
    <x v="0"/>
    <x v="0"/>
    <n v="0"/>
    <n v="0"/>
  </r>
  <r>
    <x v="2"/>
    <x v="3"/>
    <n v="0"/>
    <s v="Chest"/>
    <s v="Upper Chest"/>
    <x v="0"/>
    <x v="0"/>
    <n v="0"/>
    <n v="0"/>
  </r>
  <r>
    <x v="3"/>
    <x v="3"/>
    <n v="0"/>
    <s v="Chest"/>
    <s v="Upper Chest"/>
    <x v="0"/>
    <x v="0"/>
    <n v="0"/>
    <n v="0"/>
  </r>
  <r>
    <x v="3"/>
    <x v="3"/>
    <n v="0"/>
    <s v="Chest"/>
    <s v="Upper Chest"/>
    <x v="0"/>
    <x v="0"/>
    <n v="0"/>
    <n v="0"/>
  </r>
  <r>
    <x v="3"/>
    <x v="3"/>
    <n v="0"/>
    <s v="Chest"/>
    <s v="Upper Chest"/>
    <x v="0"/>
    <x v="0"/>
    <n v="0"/>
    <n v="0"/>
  </r>
  <r>
    <x v="3"/>
    <x v="3"/>
    <n v="0"/>
    <s v="Chest"/>
    <s v="Upper Chest"/>
    <x v="0"/>
    <x v="0"/>
    <n v="0"/>
    <n v="0"/>
  </r>
  <r>
    <x v="3"/>
    <x v="3"/>
    <n v="0"/>
    <s v="Chest"/>
    <s v="Upper Chest"/>
    <x v="0"/>
    <x v="0"/>
    <n v="0"/>
    <n v="0"/>
  </r>
  <r>
    <x v="3"/>
    <x v="3"/>
    <n v="0"/>
    <s v="Chest"/>
    <s v="Upper Chest"/>
    <x v="0"/>
    <x v="0"/>
    <n v="0"/>
    <n v="0"/>
  </r>
  <r>
    <x v="4"/>
    <x v="3"/>
    <n v="0"/>
    <s v="Chest"/>
    <s v="Upper Chest"/>
    <x v="0"/>
    <x v="0"/>
    <n v="0"/>
    <n v="0"/>
  </r>
  <r>
    <x v="4"/>
    <x v="3"/>
    <n v="0"/>
    <s v="Chest"/>
    <s v="Upper Chest"/>
    <x v="0"/>
    <x v="0"/>
    <n v="0"/>
    <n v="0"/>
  </r>
  <r>
    <x v="4"/>
    <x v="3"/>
    <n v="0"/>
    <s v="Chest"/>
    <s v="Upper Chest"/>
    <x v="0"/>
    <x v="0"/>
    <n v="0"/>
    <n v="0"/>
  </r>
  <r>
    <x v="4"/>
    <x v="3"/>
    <n v="0"/>
    <s v="Chest"/>
    <s v="Upper Chest"/>
    <x v="0"/>
    <x v="0"/>
    <n v="0"/>
    <n v="0"/>
  </r>
  <r>
    <x v="4"/>
    <x v="3"/>
    <n v="0"/>
    <s v="Chest"/>
    <s v="Upper Chest"/>
    <x v="0"/>
    <x v="0"/>
    <n v="0"/>
    <n v="0"/>
  </r>
  <r>
    <x v="4"/>
    <x v="3"/>
    <n v="0"/>
    <s v="Chest"/>
    <s v="Upper Chest"/>
    <x v="0"/>
    <x v="0"/>
    <n v="0"/>
    <n v="0"/>
  </r>
  <r>
    <x v="5"/>
    <x v="3"/>
    <n v="0"/>
    <s v="Chest"/>
    <s v="Upper Chest"/>
    <x v="0"/>
    <x v="0"/>
    <n v="0"/>
    <n v="0"/>
  </r>
  <r>
    <x v="5"/>
    <x v="3"/>
    <n v="0"/>
    <s v="Chest"/>
    <s v="Upper Chest"/>
    <x v="0"/>
    <x v="0"/>
    <n v="0"/>
    <n v="0"/>
  </r>
  <r>
    <x v="5"/>
    <x v="3"/>
    <n v="0"/>
    <s v="Chest"/>
    <s v="Upper Chest"/>
    <x v="0"/>
    <x v="0"/>
    <n v="0"/>
    <n v="0"/>
  </r>
  <r>
    <x v="5"/>
    <x v="3"/>
    <n v="0"/>
    <s v="Chest"/>
    <s v="Upper Chest"/>
    <x v="0"/>
    <x v="0"/>
    <n v="0"/>
    <n v="0"/>
  </r>
  <r>
    <x v="5"/>
    <x v="3"/>
    <n v="0"/>
    <s v="Chest"/>
    <s v="Upper Chest"/>
    <x v="0"/>
    <x v="0"/>
    <n v="0"/>
    <n v="0"/>
  </r>
  <r>
    <x v="5"/>
    <x v="3"/>
    <n v="0"/>
    <s v="Chest"/>
    <s v="Upper Chest"/>
    <x v="0"/>
    <x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C6C533-F472-411C-BF58-A749A6D112AA}" name="PivotTable2" cacheId="6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B7:D12" firstHeaderRow="1" firstDataRow="1" firstDataCol="2"/>
  <pivotFields count="9">
    <pivotField compact="0" outline="0" showAll="0">
      <items count="7">
        <item x="0"/>
        <item x="1"/>
        <item x="2"/>
        <item x="3"/>
        <item x="4"/>
        <item x="5"/>
        <item t="default"/>
      </items>
    </pivotField>
    <pivotField compact="0" outline="0" showAll="0">
      <items count="5">
        <item x="0"/>
        <item h="1" x="1"/>
        <item h="1" x="2"/>
        <item h="1" x="3"/>
        <item t="default"/>
      </items>
    </pivotField>
    <pivotField compact="0" outline="0" showAll="0"/>
    <pivotField compact="0" outline="0" showAll="0"/>
    <pivotField compact="0" outline="0" showAll="0"/>
    <pivotField axis="axisRow" compact="0" outline="0" showAll="0" sortType="descending">
      <items count="7">
        <item sd="0" m="1" x="5"/>
        <item sd="0" x="2"/>
        <item sd="0" x="1"/>
        <item sd="0" x="4"/>
        <item sd="0" x="0"/>
        <item sd="0" x="3"/>
        <item t="default" sd="0"/>
      </items>
      <autoSortScope>
        <pivotArea dataOnly="0" outline="0" fieldPosition="0">
          <references count="1">
            <reference field="4294967294" count="1" selected="0">
              <x v="0"/>
            </reference>
          </references>
        </pivotArea>
      </autoSortScope>
    </pivotField>
    <pivotField axis="axisRow" compact="0" outline="0" showAll="0">
      <items count="12">
        <item m="1" x="10"/>
        <item x="3"/>
        <item x="5"/>
        <item x="0"/>
        <item m="1" x="8"/>
        <item x="6"/>
        <item m="1" x="7"/>
        <item x="1"/>
        <item m="1" x="9"/>
        <item x="2"/>
        <item x="4"/>
        <item t="default"/>
      </items>
    </pivotField>
    <pivotField compact="0" outline="0" showAll="0"/>
    <pivotField dataField="1" compact="0" outline="0" showAll="0"/>
  </pivotFields>
  <rowFields count="2">
    <field x="5"/>
    <field x="6"/>
  </rowFields>
  <rowItems count="5">
    <i>
      <x v="2"/>
    </i>
    <i>
      <x v="1"/>
    </i>
    <i>
      <x v="4"/>
    </i>
    <i>
      <x v="3"/>
    </i>
    <i>
      <x v="5"/>
    </i>
  </rowItems>
  <colItems count="1">
    <i/>
  </colItems>
  <dataFields count="1">
    <dataField name="Total volume" fld="8" baseField="3" baseItem="0" numFmtId="1"/>
  </dataField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E50090-5641-45E0-8342-4022BFE9C2D3}" name="PivotTable1" cacheId="6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K7:L12" firstHeaderRow="1" firstDataRow="1" firstDataCol="1"/>
  <pivotFields count="9">
    <pivotField showAll="0">
      <items count="7">
        <item x="0"/>
        <item x="1"/>
        <item x="2"/>
        <item x="3"/>
        <item x="4"/>
        <item x="5"/>
        <item t="default"/>
      </items>
    </pivotField>
    <pivotField showAll="0">
      <items count="5">
        <item x="0"/>
        <item h="1" x="1"/>
        <item h="1" x="2"/>
        <item h="1" x="3"/>
        <item t="default"/>
      </items>
    </pivotField>
    <pivotField showAll="0"/>
    <pivotField showAll="0"/>
    <pivotField showAll="0"/>
    <pivotField axis="axisRow" showAll="0">
      <items count="7">
        <item x="1"/>
        <item x="2"/>
        <item m="1" x="5"/>
        <item x="4"/>
        <item x="0"/>
        <item x="3"/>
        <item t="default"/>
      </items>
    </pivotField>
    <pivotField showAll="0"/>
    <pivotField showAll="0"/>
    <pivotField dataField="1" showAll="0"/>
  </pivotFields>
  <rowFields count="1">
    <field x="5"/>
  </rowFields>
  <rowItems count="5">
    <i>
      <x/>
    </i>
    <i>
      <x v="1"/>
    </i>
    <i>
      <x v="3"/>
    </i>
    <i>
      <x v="4"/>
    </i>
    <i>
      <x v="5"/>
    </i>
  </rowItems>
  <colItems count="1">
    <i/>
  </colItems>
  <dataFields count="1">
    <dataField name="Volume Percentage" fld="8" baseField="0" baseItem="0"/>
  </dataFields>
  <chartFormats count="7">
    <chartFormat chart="1" format="0"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5" count="1" selected="0">
            <x v="0"/>
          </reference>
        </references>
      </pivotArea>
    </chartFormat>
    <chartFormat chart="4" format="24">
      <pivotArea type="data" outline="0" fieldPosition="0">
        <references count="2">
          <reference field="4294967294" count="1" selected="0">
            <x v="0"/>
          </reference>
          <reference field="5" count="1" selected="0">
            <x v="1"/>
          </reference>
        </references>
      </pivotArea>
    </chartFormat>
    <chartFormat chart="4" format="27">
      <pivotArea type="data" outline="0" fieldPosition="0">
        <references count="2">
          <reference field="4294967294" count="1" selected="0">
            <x v="0"/>
          </reference>
          <reference field="5" count="1" selected="0">
            <x v="3"/>
          </reference>
        </references>
      </pivotArea>
    </chartFormat>
    <chartFormat chart="4" format="28">
      <pivotArea type="data" outline="0" fieldPosition="0">
        <references count="2">
          <reference field="4294967294" count="1" selected="0">
            <x v="0"/>
          </reference>
          <reference field="5" count="1" selected="0">
            <x v="4"/>
          </reference>
        </references>
      </pivotArea>
    </chartFormat>
    <chartFormat chart="4" format="30">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D077DA-21F6-4A6A-BA4F-6DEB260C53F4}" name="PivotTable3" cacheId="63"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chartFormat="8">
  <location ref="N7:O14" firstHeaderRow="1" firstDataRow="2" firstDataCol="1"/>
  <pivotFields count="9">
    <pivotField axis="axisRow" showAll="0">
      <items count="7">
        <item x="0"/>
        <item x="1"/>
        <item x="2"/>
        <item x="3"/>
        <item x="4"/>
        <item x="5"/>
        <item t="default"/>
      </items>
    </pivotField>
    <pivotField axis="axisCol" showAll="0">
      <items count="5">
        <item x="0"/>
        <item h="1" x="1"/>
        <item h="1" x="2"/>
        <item h="1" x="3"/>
        <item t="default"/>
      </items>
    </pivotField>
    <pivotField showAll="0"/>
    <pivotField showAll="0"/>
    <pivotField showAll="0"/>
    <pivotField showAll="0">
      <items count="7">
        <item m="1" x="5"/>
        <item x="2"/>
        <item x="1"/>
        <item x="3"/>
        <item x="0"/>
        <item x="4"/>
        <item t="default"/>
      </items>
    </pivotField>
    <pivotField showAll="0"/>
    <pivotField showAll="0"/>
    <pivotField dataField="1" showAll="0"/>
  </pivotFields>
  <rowFields count="1">
    <field x="0"/>
  </rowFields>
  <rowItems count="6">
    <i>
      <x/>
    </i>
    <i>
      <x v="1"/>
    </i>
    <i>
      <x v="2"/>
    </i>
    <i>
      <x v="3"/>
    </i>
    <i>
      <x v="4"/>
    </i>
    <i>
      <x v="5"/>
    </i>
  </rowItems>
  <colFields count="1">
    <field x="1"/>
  </colFields>
  <colItems count="1">
    <i>
      <x/>
    </i>
  </colItems>
  <dataFields count="1">
    <dataField name="Sum of Volume" fld="8" baseField="0" baseItem="0"/>
  </dataFields>
  <chartFormats count="5">
    <chartFormat chart="5" format="16" series="1">
      <pivotArea type="data" outline="0" fieldPosition="0">
        <references count="2">
          <reference field="4294967294" count="1" selected="0">
            <x v="0"/>
          </reference>
          <reference field="1" count="1" selected="0">
            <x v="1"/>
          </reference>
        </references>
      </pivotArea>
    </chartFormat>
    <chartFormat chart="5" format="17" series="1">
      <pivotArea type="data" outline="0" fieldPosition="0">
        <references count="2">
          <reference field="4294967294" count="1" selected="0">
            <x v="0"/>
          </reference>
          <reference field="1" count="1" selected="0">
            <x v="0"/>
          </reference>
        </references>
      </pivotArea>
    </chartFormat>
    <chartFormat chart="5" format="18" series="1">
      <pivotArea type="data" outline="0" fieldPosition="0">
        <references count="1">
          <reference field="4294967294" count="1" selected="0">
            <x v="0"/>
          </reference>
        </references>
      </pivotArea>
    </chartFormat>
    <chartFormat chart="5" format="19" series="1">
      <pivotArea type="data" outline="0" fieldPosition="0">
        <references count="2">
          <reference field="4294967294" count="1" selected="0">
            <x v="0"/>
          </reference>
          <reference field="1" count="1" selected="0">
            <x v="2"/>
          </reference>
        </references>
      </pivotArea>
    </chartFormat>
    <chartFormat chart="5" format="20"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8FC067-3C6A-4194-883A-10A60855CE9B}" name="PivotTable4" cacheId="6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2">
  <location ref="G7:I12" firstHeaderRow="1" firstDataRow="1" firstDataCol="2"/>
  <pivotFields count="9">
    <pivotField compact="0" outline="0" showAll="0">
      <items count="7">
        <item x="0"/>
        <item x="1"/>
        <item x="2"/>
        <item x="3"/>
        <item x="4"/>
        <item x="5"/>
        <item t="default"/>
      </items>
    </pivotField>
    <pivotField compact="0" outline="0" showAll="0">
      <items count="5">
        <item x="0"/>
        <item h="1" x="1"/>
        <item h="1" x="2"/>
        <item h="1" x="3"/>
        <item t="default"/>
      </items>
    </pivotField>
    <pivotField compact="0" outline="0" showAll="0"/>
    <pivotField compact="0" outline="0" showAll="0"/>
    <pivotField compact="0" outline="0" showAll="0"/>
    <pivotField axis="axisRow" compact="0" outline="0" showAll="0" sortType="descending">
      <items count="7">
        <item sd="0" x="1"/>
        <item sd="0" x="2"/>
        <item sd="0" m="1" x="5"/>
        <item sd="0" x="4"/>
        <item sd="0" x="0"/>
        <item sd="0" x="3"/>
        <item t="default" sd="0"/>
      </items>
      <autoSortScope>
        <pivotArea dataOnly="0" outline="0" fieldPosition="0">
          <references count="1">
            <reference field="4294967294" count="1" selected="0">
              <x v="0"/>
            </reference>
          </references>
        </pivotArea>
      </autoSortScope>
    </pivotField>
    <pivotField axis="axisRow" compact="0" outline="0" showAll="0">
      <items count="12">
        <item m="1" x="10"/>
        <item x="3"/>
        <item x="5"/>
        <item x="0"/>
        <item m="1" x="8"/>
        <item x="6"/>
        <item m="1" x="7"/>
        <item x="1"/>
        <item m="1" x="9"/>
        <item x="2"/>
        <item x="4"/>
        <item t="default"/>
      </items>
    </pivotField>
    <pivotField dataField="1" compact="0" outline="0" showAll="0"/>
    <pivotField compact="0" outline="0" showAll="0"/>
  </pivotFields>
  <rowFields count="2">
    <field x="5"/>
    <field x="6"/>
  </rowFields>
  <rowItems count="5">
    <i>
      <x/>
    </i>
    <i>
      <x v="4"/>
    </i>
    <i>
      <x v="1"/>
    </i>
    <i>
      <x v="5"/>
    </i>
    <i>
      <x v="3"/>
    </i>
  </rowItems>
  <colItems count="1">
    <i/>
  </colItems>
  <dataFields count="1">
    <dataField name="Total Sets " fld="7" baseField="3" baseItem="3"/>
  </dataFields>
  <chartFormats count="7">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5" count="1" selected="0">
            <x v="0"/>
          </reference>
        </references>
      </pivotArea>
    </chartFormat>
    <chartFormat chart="4" format="4">
      <pivotArea type="data" outline="0" fieldPosition="0">
        <references count="2">
          <reference field="4294967294" count="1" selected="0">
            <x v="0"/>
          </reference>
          <reference field="5" count="1" selected="0">
            <x v="1"/>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ổi_tập1" xr10:uid="{F26D3A6A-E886-48FD-A12E-3B686874FA93}" sourceName="Buổi tập">
  <pivotTables>
    <pivotTable tabId="13" name="PivotTable1"/>
    <pivotTable tabId="13" name="PivotTable2"/>
    <pivotTable tabId="13" name="PivotTable4"/>
    <pivotTable tabId="13" name="PivotTable3"/>
  </pivotTables>
  <data>
    <tabular pivotCacheId="1873343283">
      <items count="6">
        <i x="0" s="1"/>
        <i x="1" s="1"/>
        <i x="2" s="1"/>
        <i x="3"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1DBA7EE6-5813-44EA-9BAB-36CBDF011EC1}" sourceName="Week">
  <pivotTables>
    <pivotTable tabId="13" name="PivotTable1"/>
    <pivotTable tabId="13" name="PivotTable2"/>
    <pivotTable tabId="13" name="PivotTable4"/>
    <pivotTable tabId="13" name="PivotTable3"/>
  </pivotTables>
  <data>
    <tabular pivotCacheId="1873343283">
      <items count="4">
        <i x="0" s="1"/>
        <i x="1"/>
        <i x="2"/>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óm_cơ1" xr10:uid="{BDACB40D-B7DC-4BF0-9604-59C3B856F58F}" sourceName="Nhóm cơ">
  <pivotTables>
    <pivotTable tabId="13" name="PivotTable2"/>
    <pivotTable tabId="13" name="PivotTable4"/>
    <pivotTable tabId="13" name="PivotTable1"/>
    <pivotTable tabId="13" name="PivotTable3"/>
  </pivotTables>
  <data>
    <tabular pivotCacheId="1873343283">
      <items count="6">
        <i x="2" s="1"/>
        <i x="1" s="1"/>
        <i x="3" s="1"/>
        <i x="0"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1FD355B-E669-49AD-8F39-36D0C7C4D9D3}" sourceName="Date">
  <extLst>
    <x:ext xmlns:x15="http://schemas.microsoft.com/office/spreadsheetml/2010/11/main" uri="{2F2917AC-EB37-4324-AD4E-5DD8C200BD13}">
      <x15:tableSlicerCache tableId="6" column="1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áng" xr10:uid="{8A4D8B5C-C449-4A26-B929-4CB92B4B74AD}" sourceName="Tháng">
  <extLst>
    <x:ext xmlns:x15="http://schemas.microsoft.com/office/spreadsheetml/2010/11/main" uri="{2F2917AC-EB37-4324-AD4E-5DD8C200BD13}">
      <x15:tableSlicerCache tableId="6" column="1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B5CE90CC-1657-4318-B16A-81FF9FC4DC16}" cache="Slicer_Date" caption="Date" startItem="10" columnCount="5" style="SlicerStyleLight2" rowHeight="225425"/>
  <slicer name="Tháng 2" xr10:uid="{0358465D-3023-4EC8-8B6A-7105BC3DC8C4}" cache="Slicer_Tháng" caption="Tháng" columnCount="4" style="SlicerStyleLight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ổi tập 2" xr10:uid="{6B6778BD-78D2-44B7-81BD-059E131F5613}" cache="Slicer_Buổi_tập1" caption="Buổi tập" columnCount="2" style="SlicerStyleLight2" rowHeight="225425"/>
  <slicer name="Week 2" xr10:uid="{C658EC37-213F-4991-9825-7FDA2AC08C03}" cache="Slicer_Week1" caption="Week" columnCount="2" style="SlicerStyleLight2" rowHeight="225425"/>
  <slicer name="Nhóm cơ 2" xr10:uid="{B999F351-0E90-4329-93E1-6F68B14806BF}" cache="Slicer_Nhóm_cơ1" caption="Nhóm cơ" columnCount="2" style="SlicerStyleLight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89ADFE-1992-4CA6-B9AD-1BBB7CACB6BC}" name="Calo" displayName="Calo" ref="C3:I368" totalsRowShown="0" headerRowDxfId="20" dataDxfId="18" headerRowBorderDxfId="19" tableBorderDxfId="17">
  <autoFilter ref="C3:I368" xr:uid="{0C89ADFE-1992-4CA6-B9AD-1BBB7CACB6BC}">
    <filterColumn colId="1">
      <filters>
        <filter val="Tháng 2"/>
      </filters>
    </filterColumn>
  </autoFilter>
  <tableColumns count="7">
    <tableColumn id="1" xr3:uid="{D0BBB8AB-F302-4DBF-B960-2650EE215DB1}" name="Ngày" dataDxfId="16"/>
    <tableColumn id="14" xr3:uid="{7444A052-47A0-44AB-AE82-65CAB0286EE9}" name="Tháng" dataDxfId="15"/>
    <tableColumn id="15" xr3:uid="{18D1B821-2D2C-4D08-8D35-2150CC64ACC2}" name="Date" dataDxfId="14"/>
    <tableColumn id="2" xr3:uid="{EFEF39CF-0166-440D-9252-4CDBAD7433EF}" name="Calo Intake" dataDxfId="13">
      <calculatedColumnFormula>'Track Calo và Weight'!C5</calculatedColumnFormula>
    </tableColumn>
    <tableColumn id="16" xr3:uid="{6427EBA4-C6F8-4134-B9A0-2BBEF99529DC}" name="Cân Nặng" dataDxfId="12">
      <calculatedColumnFormula>'Track Calo và Weight'!D5</calculatedColumnFormula>
    </tableColumn>
    <tableColumn id="3" xr3:uid="{D3873AF2-39B5-4FAA-946E-33C522BA902A}" name="Calo Intake Trung Bình" dataDxfId="11"/>
    <tableColumn id="4" xr3:uid="{7741E494-69F8-4C95-854C-C223CBEEB8EC}" name="Cân Nặng Trung Bình"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BEBCAD-AA0D-4B7A-8C49-20509AB40D52}" name="Table2" displayName="Table2" ref="B2:J146" totalsRowShown="0" headerRowDxfId="9">
  <autoFilter ref="B2:J146" xr:uid="{02BEBCAD-AA0D-4B7A-8C49-20509AB40D52}"/>
  <tableColumns count="9">
    <tableColumn id="1" xr3:uid="{D23A2E62-3812-4DCC-803A-43886550034F}" name="Buổi tập" dataDxfId="8"/>
    <tableColumn id="2" xr3:uid="{1350FF20-0731-4FD7-8CF4-DD8492E3061D}" name="Week" dataDxfId="7"/>
    <tableColumn id="3" xr3:uid="{9D352F6C-B31B-444C-919D-4D46CA9F7C1B}" name="Exercise"/>
    <tableColumn id="4" xr3:uid="{DFAF9B9B-5A7C-44D9-AEE3-09C0D84F6536}" name="Nhóm cơ Sript" dataDxfId="6">
      <calculatedColumnFormula>VLOOKUP(Table2[[#This Row],[Exercise]],Table1[],2,FALSE)</calculatedColumnFormula>
    </tableColumn>
    <tableColumn id="7" xr3:uid="{CAAEC391-7BFA-4435-8256-9CE3F3F6FE0A}" name="Detail Script" dataDxfId="5">
      <calculatedColumnFormula>VLOOKUP(Table2[[#This Row],[Exercise]],Table1[],3,FALSE)</calculatedColumnFormula>
    </tableColumn>
    <tableColumn id="10" xr3:uid="{31CE86DE-ED43-4BBD-92E9-8DACC657AA2E}" name="Nhóm cơ" dataDxfId="4">
      <calculatedColumnFormula>IF(LEN(Table2[[#This Row],[Exercise]])&gt;1,Table2[[#This Row],[Nhóm cơ Sript]],$E$3)</calculatedColumnFormula>
    </tableColumn>
    <tableColumn id="11" xr3:uid="{30986522-BBAF-4E8E-9214-86FA90147D74}" name="Nhóm cơ cụ thể" dataDxfId="3">
      <calculatedColumnFormula>IF(LEN(Table2[[#This Row],[Exercise]])&gt;1,Table2[[#This Row],[Detail Script]],$F$3)</calculatedColumnFormula>
    </tableColumn>
    <tableColumn id="5" xr3:uid="{6242EB8D-EA18-48BA-86DF-D894D0F7784B}" name="Set"/>
    <tableColumn id="6" xr3:uid="{1E4292B2-BD6A-4237-8232-F7A29A8C9BAE}" name="Volu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65823B-0CB6-4CF9-A4A5-FEAF806BA4A8}" name="Table1" displayName="Table1" ref="L2:N210" totalsRowShown="0" headerRowDxfId="2">
  <autoFilter ref="L2:N210" xr:uid="{9465823B-0CB6-4CF9-A4A5-FEAF806BA4A8}"/>
  <sortState xmlns:xlrd2="http://schemas.microsoft.com/office/spreadsheetml/2017/richdata2" ref="L3:M18">
    <sortCondition descending="1" ref="L3:L18"/>
  </sortState>
  <tableColumns count="3">
    <tableColumn id="1" xr3:uid="{C9D9B74D-B156-4F17-8C31-8346EA60DCB3}" name="Tên Bài Tập"/>
    <tableColumn id="2" xr3:uid="{B4C6ED38-F0D6-4A3E-97AD-736B5B2465E8}" name="Nhóm cơ " dataDxfId="1">
      <calculatedColumnFormula>'Các Bài Tập'!$C$2</calculatedColumnFormula>
    </tableColumn>
    <tableColumn id="3" xr3:uid="{ACD730A7-1645-44AC-BE4A-B0F1B99DD25E}" name="Detail"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musclewiki.com/muscle/Obliqu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7.bin"/><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BE5812"/>
    <outlinePr summaryBelow="0" summaryRight="0"/>
  </sheetPr>
  <dimension ref="B1:Y1001"/>
  <sheetViews>
    <sheetView showGridLines="0" zoomScaleNormal="100" workbookViewId="0">
      <pane ySplit="3" topLeftCell="A22" activePane="bottomLeft" state="frozen"/>
      <selection pane="bottomLeft" activeCell="K22" sqref="K22"/>
    </sheetView>
  </sheetViews>
  <sheetFormatPr defaultColWidth="12.5703125" defaultRowHeight="15" customHeight="1" x14ac:dyDescent="0.2"/>
  <cols>
    <col min="2" max="2" width="36.7109375" customWidth="1"/>
    <col min="3" max="3" width="9.42578125" customWidth="1"/>
    <col min="4" max="4" width="10" customWidth="1"/>
    <col min="5" max="5" width="11.42578125" customWidth="1"/>
    <col min="6" max="6" width="9.42578125" customWidth="1"/>
    <col min="7" max="7" width="10.42578125" customWidth="1"/>
    <col min="8" max="8" width="2.28515625" customWidth="1"/>
    <col min="9" max="27" width="14.42578125" customWidth="1"/>
  </cols>
  <sheetData>
    <row r="1" spans="2:9" ht="15" customHeight="1" thickBot="1" x14ac:dyDescent="0.25"/>
    <row r="2" spans="2:9" ht="15.75" customHeight="1" x14ac:dyDescent="0.25">
      <c r="B2" s="190" t="s">
        <v>0</v>
      </c>
      <c r="C2" s="191"/>
      <c r="D2" s="191"/>
      <c r="E2" s="191"/>
      <c r="F2" s="191"/>
      <c r="G2" s="192"/>
      <c r="H2" s="32"/>
      <c r="I2" s="32" t="s">
        <v>260</v>
      </c>
    </row>
    <row r="3" spans="2:9" ht="15.75" customHeight="1" thickBot="1" x14ac:dyDescent="0.3">
      <c r="B3" s="82" t="s">
        <v>1</v>
      </c>
      <c r="C3" s="83" t="s">
        <v>2</v>
      </c>
      <c r="D3" s="83" t="s">
        <v>3</v>
      </c>
      <c r="E3" s="83" t="s">
        <v>4</v>
      </c>
      <c r="F3" s="83" t="s">
        <v>5</v>
      </c>
      <c r="G3" s="84" t="s">
        <v>6</v>
      </c>
      <c r="H3" s="32" t="s">
        <v>8</v>
      </c>
      <c r="I3" s="31" t="s">
        <v>10</v>
      </c>
    </row>
    <row r="4" spans="2:9" ht="15.75" customHeight="1" x14ac:dyDescent="0.25">
      <c r="B4" s="140" t="s">
        <v>7</v>
      </c>
      <c r="C4" s="147">
        <v>100</v>
      </c>
      <c r="D4" s="148">
        <v>0</v>
      </c>
      <c r="E4" s="148">
        <v>0</v>
      </c>
      <c r="F4" s="148">
        <v>0</v>
      </c>
      <c r="G4" s="149">
        <v>5</v>
      </c>
    </row>
    <row r="5" spans="2:9" ht="15.75" customHeight="1" x14ac:dyDescent="0.25">
      <c r="B5" s="140" t="s">
        <v>9</v>
      </c>
      <c r="C5" s="147">
        <v>1</v>
      </c>
      <c r="D5" s="148">
        <v>16.100000000000001</v>
      </c>
      <c r="E5" s="148">
        <v>48.1</v>
      </c>
      <c r="F5" s="148">
        <v>7.9</v>
      </c>
      <c r="G5" s="149">
        <v>328</v>
      </c>
    </row>
    <row r="6" spans="2:9" ht="15.75" customHeight="1" x14ac:dyDescent="0.25">
      <c r="B6" s="140" t="s">
        <v>11</v>
      </c>
      <c r="C6" s="147">
        <v>100</v>
      </c>
      <c r="D6" s="148">
        <v>5</v>
      </c>
      <c r="E6" s="148">
        <v>27</v>
      </c>
      <c r="F6" s="148">
        <v>3</v>
      </c>
      <c r="G6" s="149">
        <v>165</v>
      </c>
      <c r="H6" s="31"/>
      <c r="I6" s="31"/>
    </row>
    <row r="7" spans="2:9" ht="15.75" customHeight="1" x14ac:dyDescent="0.25">
      <c r="B7" s="140" t="s">
        <v>12</v>
      </c>
      <c r="C7" s="147">
        <v>100</v>
      </c>
      <c r="D7" s="148">
        <v>3</v>
      </c>
      <c r="E7" s="148">
        <v>16.8</v>
      </c>
      <c r="F7" s="148">
        <v>5.3</v>
      </c>
      <c r="G7" s="149">
        <v>129</v>
      </c>
      <c r="H7" s="31"/>
      <c r="I7" s="31"/>
    </row>
    <row r="8" spans="2:9" ht="15.75" customHeight="1" x14ac:dyDescent="0.25">
      <c r="B8" s="140" t="s">
        <v>13</v>
      </c>
      <c r="C8" s="150">
        <v>100</v>
      </c>
      <c r="D8" s="151">
        <v>8.1</v>
      </c>
      <c r="E8" s="151">
        <v>51.2</v>
      </c>
      <c r="F8" s="151">
        <v>4.0999999999999996</v>
      </c>
      <c r="G8" s="152">
        <v>275</v>
      </c>
      <c r="H8" s="31"/>
      <c r="I8" s="31"/>
    </row>
    <row r="9" spans="2:9" ht="15.75" customHeight="1" x14ac:dyDescent="0.25">
      <c r="B9" s="140" t="s">
        <v>14</v>
      </c>
      <c r="C9" s="150">
        <v>100</v>
      </c>
      <c r="D9" s="151">
        <v>7.6</v>
      </c>
      <c r="E9" s="151">
        <v>50.6</v>
      </c>
      <c r="F9" s="151">
        <v>3.3</v>
      </c>
      <c r="G9" s="152">
        <v>266</v>
      </c>
      <c r="H9" s="31"/>
      <c r="I9" s="31"/>
    </row>
    <row r="10" spans="2:9" ht="15.75" customHeight="1" x14ac:dyDescent="0.25">
      <c r="B10" s="140" t="s">
        <v>15</v>
      </c>
      <c r="C10" s="147">
        <v>100</v>
      </c>
      <c r="D10" s="148">
        <v>3.2</v>
      </c>
      <c r="E10" s="148">
        <v>31.7</v>
      </c>
      <c r="F10" s="148">
        <v>0.4</v>
      </c>
      <c r="G10" s="149">
        <v>143</v>
      </c>
      <c r="H10" s="31"/>
      <c r="I10" s="31"/>
    </row>
    <row r="11" spans="2:9" ht="15.75" customHeight="1" x14ac:dyDescent="0.25">
      <c r="B11" s="140" t="s">
        <v>16</v>
      </c>
      <c r="C11" s="150">
        <v>100</v>
      </c>
      <c r="D11" s="151">
        <v>21</v>
      </c>
      <c r="E11" s="151">
        <v>0</v>
      </c>
      <c r="F11" s="151">
        <v>7</v>
      </c>
      <c r="G11" s="152">
        <v>223</v>
      </c>
      <c r="H11" s="31"/>
      <c r="I11" s="31"/>
    </row>
    <row r="12" spans="2:9" ht="15.75" customHeight="1" x14ac:dyDescent="0.25">
      <c r="B12" s="140" t="s">
        <v>17</v>
      </c>
      <c r="C12" s="150">
        <v>100</v>
      </c>
      <c r="D12" s="151">
        <v>28</v>
      </c>
      <c r="E12" s="151">
        <v>0</v>
      </c>
      <c r="F12" s="151">
        <v>7</v>
      </c>
      <c r="G12" s="152">
        <v>100</v>
      </c>
      <c r="H12" s="31"/>
      <c r="I12" s="31"/>
    </row>
    <row r="13" spans="2:9" ht="15.75" customHeight="1" x14ac:dyDescent="0.25">
      <c r="B13" s="140" t="s">
        <v>18</v>
      </c>
      <c r="C13" s="150">
        <v>100</v>
      </c>
      <c r="D13" s="151">
        <v>21</v>
      </c>
      <c r="E13" s="151">
        <v>0</v>
      </c>
      <c r="F13" s="151">
        <v>7</v>
      </c>
      <c r="G13" s="152">
        <v>155</v>
      </c>
      <c r="H13" s="31"/>
      <c r="I13" s="31"/>
    </row>
    <row r="14" spans="2:9" ht="15.75" customHeight="1" x14ac:dyDescent="0.25">
      <c r="B14" s="140" t="s">
        <v>19</v>
      </c>
      <c r="C14" s="150">
        <v>100</v>
      </c>
      <c r="D14" s="151">
        <v>17</v>
      </c>
      <c r="E14" s="151">
        <v>0</v>
      </c>
      <c r="F14" s="151">
        <v>20</v>
      </c>
      <c r="G14" s="152">
        <v>254</v>
      </c>
      <c r="H14" s="31"/>
      <c r="I14" s="31"/>
    </row>
    <row r="15" spans="2:9" ht="15.75" customHeight="1" x14ac:dyDescent="0.25">
      <c r="B15" s="140" t="s">
        <v>20</v>
      </c>
      <c r="C15" s="150">
        <v>100</v>
      </c>
      <c r="D15" s="151">
        <v>19</v>
      </c>
      <c r="E15" s="151">
        <v>0</v>
      </c>
      <c r="F15" s="151">
        <v>15</v>
      </c>
      <c r="G15" s="152">
        <v>215</v>
      </c>
      <c r="H15" s="31"/>
      <c r="I15" s="31"/>
    </row>
    <row r="16" spans="2:9" ht="15.75" customHeight="1" x14ac:dyDescent="0.25">
      <c r="B16" s="140" t="s">
        <v>21</v>
      </c>
      <c r="C16" s="150">
        <v>100</v>
      </c>
      <c r="D16" s="151">
        <v>20</v>
      </c>
      <c r="E16" s="151">
        <v>0</v>
      </c>
      <c r="F16" s="151">
        <v>10</v>
      </c>
      <c r="G16" s="152">
        <v>176</v>
      </c>
      <c r="H16" s="31"/>
      <c r="I16" s="31"/>
    </row>
    <row r="17" spans="2:25" ht="15.75" customHeight="1" x14ac:dyDescent="0.25">
      <c r="B17" s="140" t="s">
        <v>22</v>
      </c>
      <c r="C17" s="147">
        <v>100</v>
      </c>
      <c r="D17" s="148">
        <v>21</v>
      </c>
      <c r="E17" s="148">
        <v>0</v>
      </c>
      <c r="F17" s="148">
        <v>7</v>
      </c>
      <c r="G17" s="149">
        <v>152</v>
      </c>
      <c r="H17" s="31"/>
      <c r="I17" s="31"/>
    </row>
    <row r="18" spans="2:25" ht="15.75" customHeight="1" x14ac:dyDescent="0.25">
      <c r="B18" s="140" t="s">
        <v>23</v>
      </c>
      <c r="C18" s="150">
        <v>100</v>
      </c>
      <c r="D18" s="151">
        <v>21</v>
      </c>
      <c r="E18" s="151">
        <v>0</v>
      </c>
      <c r="F18" s="151">
        <v>5</v>
      </c>
      <c r="G18" s="152">
        <v>136</v>
      </c>
      <c r="H18" s="31"/>
      <c r="I18" s="31"/>
    </row>
    <row r="19" spans="2:25" ht="15.75" customHeight="1" x14ac:dyDescent="0.25">
      <c r="B19" s="140" t="s">
        <v>24</v>
      </c>
      <c r="C19" s="150">
        <v>100</v>
      </c>
      <c r="D19" s="151">
        <v>21</v>
      </c>
      <c r="E19" s="151">
        <v>0</v>
      </c>
      <c r="F19" s="151">
        <v>9</v>
      </c>
      <c r="G19" s="152">
        <v>192</v>
      </c>
      <c r="H19" s="31"/>
      <c r="I19" s="31"/>
    </row>
    <row r="20" spans="2:25" ht="15.75" customHeight="1" x14ac:dyDescent="0.25">
      <c r="B20" s="140" t="s">
        <v>25</v>
      </c>
      <c r="C20" s="150">
        <v>100</v>
      </c>
      <c r="D20" s="151">
        <v>24</v>
      </c>
      <c r="E20" s="151">
        <v>0</v>
      </c>
      <c r="F20" s="151">
        <v>22</v>
      </c>
      <c r="G20" s="152">
        <v>291</v>
      </c>
      <c r="H20" s="31"/>
      <c r="I20" s="31"/>
    </row>
    <row r="21" spans="2:25" ht="15.75" customHeight="1" x14ac:dyDescent="0.25">
      <c r="B21" s="140" t="s">
        <v>26</v>
      </c>
      <c r="C21" s="150">
        <v>100</v>
      </c>
      <c r="D21" s="151">
        <v>19</v>
      </c>
      <c r="E21" s="151">
        <v>0</v>
      </c>
      <c r="F21" s="151">
        <v>15</v>
      </c>
      <c r="G21" s="152">
        <v>220</v>
      </c>
      <c r="H21" s="31"/>
      <c r="I21" s="31"/>
    </row>
    <row r="22" spans="2:25" ht="15.75" customHeight="1" x14ac:dyDescent="0.25">
      <c r="B22" s="140" t="s">
        <v>27</v>
      </c>
      <c r="C22" s="150">
        <v>100</v>
      </c>
      <c r="D22" s="151">
        <v>21</v>
      </c>
      <c r="E22" s="151">
        <v>0</v>
      </c>
      <c r="F22" s="151">
        <v>6</v>
      </c>
      <c r="G22" s="152">
        <v>142</v>
      </c>
      <c r="H22" s="31"/>
      <c r="I22" s="31"/>
    </row>
    <row r="23" spans="2:25" ht="15.75" customHeight="1" x14ac:dyDescent="0.25">
      <c r="B23" s="140" t="s">
        <v>28</v>
      </c>
      <c r="C23" s="150">
        <v>100</v>
      </c>
      <c r="D23" s="151">
        <v>2</v>
      </c>
      <c r="E23" s="151">
        <v>4</v>
      </c>
      <c r="F23" s="151">
        <v>1</v>
      </c>
      <c r="G23" s="152">
        <v>22</v>
      </c>
      <c r="H23" s="33"/>
      <c r="I23" s="33"/>
      <c r="J23" s="1"/>
      <c r="K23" s="1"/>
      <c r="L23" s="1"/>
      <c r="M23" s="1"/>
      <c r="N23" s="1"/>
      <c r="O23" s="1"/>
      <c r="P23" s="1"/>
      <c r="Q23" s="1"/>
      <c r="R23" s="1"/>
      <c r="S23" s="1"/>
      <c r="T23" s="1"/>
      <c r="U23" s="1"/>
      <c r="V23" s="1"/>
      <c r="W23" s="1"/>
      <c r="X23" s="1"/>
      <c r="Y23" s="1"/>
    </row>
    <row r="24" spans="2:25" ht="15.75" customHeight="1" x14ac:dyDescent="0.25">
      <c r="B24" s="140" t="s">
        <v>29</v>
      </c>
      <c r="C24" s="150">
        <v>100</v>
      </c>
      <c r="D24" s="151">
        <v>4</v>
      </c>
      <c r="E24" s="151">
        <v>2</v>
      </c>
      <c r="F24" s="151">
        <v>0</v>
      </c>
      <c r="G24" s="152">
        <v>29</v>
      </c>
      <c r="H24" s="33"/>
      <c r="I24" s="33"/>
      <c r="J24" s="1"/>
      <c r="K24" s="1"/>
      <c r="L24" s="1"/>
      <c r="M24" s="1"/>
      <c r="N24" s="1"/>
      <c r="O24" s="1"/>
      <c r="P24" s="1"/>
      <c r="Q24" s="1"/>
      <c r="R24" s="1"/>
      <c r="S24" s="1"/>
      <c r="T24" s="1"/>
      <c r="U24" s="1"/>
      <c r="V24" s="1"/>
      <c r="W24" s="1"/>
      <c r="X24" s="1"/>
      <c r="Y24" s="1"/>
    </row>
    <row r="25" spans="2:25" ht="15.75" customHeight="1" x14ac:dyDescent="0.25">
      <c r="B25" s="140" t="s">
        <v>30</v>
      </c>
      <c r="C25" s="150">
        <v>100</v>
      </c>
      <c r="D25" s="151">
        <v>20</v>
      </c>
      <c r="E25" s="151">
        <v>20</v>
      </c>
      <c r="F25" s="151">
        <v>10</v>
      </c>
      <c r="G25" s="152">
        <v>240</v>
      </c>
      <c r="H25" s="33"/>
      <c r="I25" s="33"/>
      <c r="J25" s="1"/>
      <c r="K25" s="1"/>
      <c r="L25" s="1"/>
      <c r="M25" s="1"/>
      <c r="N25" s="1"/>
      <c r="O25" s="1"/>
      <c r="P25" s="1"/>
      <c r="Q25" s="1"/>
      <c r="R25" s="1"/>
      <c r="S25" s="1"/>
      <c r="T25" s="1"/>
      <c r="U25" s="1"/>
      <c r="V25" s="1"/>
      <c r="W25" s="1"/>
      <c r="X25" s="1"/>
      <c r="Y25" s="1"/>
    </row>
    <row r="26" spans="2:25" ht="15.75" customHeight="1" x14ac:dyDescent="0.25">
      <c r="B26" s="140" t="s">
        <v>31</v>
      </c>
      <c r="C26" s="150">
        <v>100</v>
      </c>
      <c r="D26" s="151">
        <v>22</v>
      </c>
      <c r="E26" s="151">
        <v>7</v>
      </c>
      <c r="F26" s="151">
        <v>54</v>
      </c>
      <c r="G26" s="152">
        <v>648</v>
      </c>
      <c r="H26" s="33"/>
      <c r="I26" s="33"/>
      <c r="J26" s="1"/>
      <c r="K26" s="1"/>
      <c r="L26" s="1"/>
      <c r="M26" s="1"/>
      <c r="N26" s="1"/>
      <c r="O26" s="1"/>
      <c r="P26" s="1"/>
      <c r="Q26" s="1"/>
      <c r="R26" s="1"/>
      <c r="S26" s="1"/>
      <c r="T26" s="1"/>
      <c r="U26" s="1"/>
      <c r="V26" s="1"/>
      <c r="W26" s="1"/>
      <c r="X26" s="1"/>
      <c r="Y26" s="1"/>
    </row>
    <row r="27" spans="2:25" ht="15.75" customHeight="1" x14ac:dyDescent="0.25">
      <c r="B27" s="140" t="s">
        <v>32</v>
      </c>
      <c r="C27" s="147">
        <v>125</v>
      </c>
      <c r="D27" s="148">
        <v>13</v>
      </c>
      <c r="E27" s="148">
        <v>95</v>
      </c>
      <c r="F27" s="148">
        <v>1.2</v>
      </c>
      <c r="G27" s="149">
        <v>455</v>
      </c>
      <c r="H27" s="33"/>
      <c r="I27" s="33"/>
      <c r="J27" s="1"/>
      <c r="K27" s="1"/>
      <c r="L27" s="1"/>
      <c r="M27" s="1"/>
      <c r="N27" s="1"/>
      <c r="O27" s="1"/>
      <c r="P27" s="1"/>
      <c r="Q27" s="1"/>
      <c r="R27" s="1"/>
      <c r="S27" s="1"/>
      <c r="T27" s="1"/>
      <c r="U27" s="1"/>
      <c r="V27" s="1"/>
      <c r="W27" s="1"/>
      <c r="X27" s="1"/>
      <c r="Y27" s="1"/>
    </row>
    <row r="28" spans="2:25" ht="15.75" customHeight="1" x14ac:dyDescent="0.25">
      <c r="B28" s="140" t="s">
        <v>33</v>
      </c>
      <c r="C28" s="147">
        <v>100</v>
      </c>
      <c r="D28" s="148">
        <v>1.7</v>
      </c>
      <c r="E28" s="148">
        <v>25.7</v>
      </c>
      <c r="F28" s="148">
        <v>0</v>
      </c>
      <c r="G28" s="149">
        <v>110</v>
      </c>
      <c r="H28" s="33"/>
      <c r="I28" s="33"/>
      <c r="J28" s="1"/>
      <c r="K28" s="1"/>
      <c r="L28" s="1"/>
      <c r="M28" s="1"/>
      <c r="N28" s="1"/>
      <c r="O28" s="1"/>
      <c r="P28" s="1"/>
      <c r="Q28" s="1"/>
      <c r="R28" s="1"/>
      <c r="S28" s="1"/>
      <c r="T28" s="1"/>
      <c r="U28" s="1"/>
      <c r="V28" s="1"/>
      <c r="W28" s="1"/>
      <c r="X28" s="1"/>
      <c r="Y28" s="1"/>
    </row>
    <row r="29" spans="2:25" ht="15.75" customHeight="1" x14ac:dyDescent="0.25">
      <c r="B29" s="140" t="s">
        <v>34</v>
      </c>
      <c r="C29" s="147">
        <v>1</v>
      </c>
      <c r="D29" s="148">
        <v>15</v>
      </c>
      <c r="E29" s="148">
        <v>68</v>
      </c>
      <c r="F29" s="148">
        <v>17</v>
      </c>
      <c r="G29" s="149">
        <v>485</v>
      </c>
      <c r="H29" s="31" t="s">
        <v>8</v>
      </c>
      <c r="I29" s="31" t="s">
        <v>35</v>
      </c>
      <c r="J29" s="1"/>
      <c r="K29" s="1"/>
      <c r="L29" s="1"/>
      <c r="M29" s="1"/>
      <c r="N29" s="1"/>
      <c r="O29" s="1"/>
      <c r="P29" s="1"/>
      <c r="Q29" s="1"/>
      <c r="R29" s="1"/>
      <c r="S29" s="1"/>
      <c r="T29" s="1"/>
      <c r="U29" s="1"/>
      <c r="V29" s="1"/>
      <c r="W29" s="1"/>
      <c r="X29" s="1"/>
      <c r="Y29" s="1"/>
    </row>
    <row r="30" spans="2:25" ht="15.75" customHeight="1" x14ac:dyDescent="0.25">
      <c r="B30" s="140" t="s">
        <v>36</v>
      </c>
      <c r="C30" s="150">
        <v>100</v>
      </c>
      <c r="D30" s="151">
        <v>1</v>
      </c>
      <c r="E30" s="151">
        <v>4</v>
      </c>
      <c r="F30" s="151">
        <v>0</v>
      </c>
      <c r="G30" s="152">
        <v>18</v>
      </c>
      <c r="H30" s="33"/>
      <c r="I30" s="33"/>
      <c r="J30" s="1"/>
      <c r="K30" s="1"/>
      <c r="L30" s="1"/>
      <c r="M30" s="1"/>
      <c r="N30" s="1"/>
      <c r="O30" s="1"/>
      <c r="P30" s="1"/>
      <c r="Q30" s="1"/>
      <c r="R30" s="1"/>
      <c r="S30" s="1"/>
      <c r="T30" s="1"/>
      <c r="U30" s="1"/>
      <c r="V30" s="1"/>
      <c r="W30" s="1"/>
      <c r="X30" s="1"/>
      <c r="Y30" s="1"/>
    </row>
    <row r="31" spans="2:25" ht="15.75" customHeight="1" x14ac:dyDescent="0.25">
      <c r="B31" s="140" t="s">
        <v>37</v>
      </c>
      <c r="C31" s="150">
        <v>100</v>
      </c>
      <c r="D31" s="151">
        <v>20</v>
      </c>
      <c r="E31" s="151">
        <v>0</v>
      </c>
      <c r="F31" s="151">
        <v>13</v>
      </c>
      <c r="G31" s="152">
        <v>208</v>
      </c>
      <c r="H31" s="33"/>
      <c r="I31" s="33"/>
      <c r="J31" s="1"/>
      <c r="K31" s="1"/>
      <c r="L31" s="1"/>
      <c r="M31" s="1"/>
      <c r="N31" s="1"/>
      <c r="O31" s="1"/>
      <c r="P31" s="1"/>
      <c r="Q31" s="1"/>
      <c r="R31" s="1"/>
      <c r="S31" s="1"/>
      <c r="T31" s="1"/>
      <c r="U31" s="1"/>
      <c r="V31" s="1"/>
      <c r="W31" s="1"/>
      <c r="X31" s="1"/>
      <c r="Y31" s="1"/>
    </row>
    <row r="32" spans="2:25" ht="15.75" customHeight="1" x14ac:dyDescent="0.25">
      <c r="B32" s="140" t="s">
        <v>38</v>
      </c>
      <c r="C32" s="150">
        <v>100</v>
      </c>
      <c r="D32" s="151">
        <v>0</v>
      </c>
      <c r="E32" s="151">
        <v>9</v>
      </c>
      <c r="F32" s="151">
        <v>0</v>
      </c>
      <c r="G32" s="152">
        <v>38</v>
      </c>
      <c r="H32" s="33"/>
      <c r="I32" s="33"/>
      <c r="J32" s="1"/>
      <c r="K32" s="1"/>
      <c r="L32" s="1"/>
      <c r="M32" s="1"/>
      <c r="N32" s="1"/>
      <c r="O32" s="1"/>
      <c r="P32" s="1"/>
      <c r="Q32" s="1"/>
      <c r="R32" s="1"/>
      <c r="S32" s="1"/>
      <c r="T32" s="1"/>
      <c r="U32" s="1"/>
      <c r="V32" s="1"/>
      <c r="W32" s="1"/>
      <c r="X32" s="1"/>
      <c r="Y32" s="1"/>
    </row>
    <row r="33" spans="2:25" ht="15.75" customHeight="1" x14ac:dyDescent="0.25">
      <c r="B33" s="140" t="s">
        <v>39</v>
      </c>
      <c r="C33" s="150">
        <v>100</v>
      </c>
      <c r="D33" s="151">
        <v>19</v>
      </c>
      <c r="E33" s="151">
        <v>4</v>
      </c>
      <c r="F33" s="151">
        <v>14</v>
      </c>
      <c r="G33" s="152">
        <v>221</v>
      </c>
      <c r="H33" s="33"/>
      <c r="I33" s="33"/>
      <c r="J33" s="1"/>
      <c r="K33" s="1"/>
      <c r="L33" s="1"/>
      <c r="M33" s="1"/>
      <c r="N33" s="1"/>
      <c r="O33" s="1"/>
      <c r="P33" s="1"/>
      <c r="Q33" s="1"/>
      <c r="R33" s="1"/>
      <c r="S33" s="1"/>
      <c r="T33" s="1"/>
      <c r="U33" s="1"/>
      <c r="V33" s="1"/>
      <c r="W33" s="1"/>
      <c r="X33" s="1"/>
      <c r="Y33" s="1"/>
    </row>
    <row r="34" spans="2:25" ht="15.75" customHeight="1" x14ac:dyDescent="0.25">
      <c r="B34" s="140" t="s">
        <v>40</v>
      </c>
      <c r="C34" s="147">
        <v>100</v>
      </c>
      <c r="D34" s="148">
        <v>2.6</v>
      </c>
      <c r="E34" s="148">
        <v>8</v>
      </c>
      <c r="F34" s="148">
        <v>1.9</v>
      </c>
      <c r="G34" s="149">
        <v>61</v>
      </c>
      <c r="H34" s="31" t="s">
        <v>8</v>
      </c>
      <c r="I34" s="31" t="s">
        <v>41</v>
      </c>
      <c r="J34" s="1"/>
      <c r="K34" s="1"/>
      <c r="L34" s="1"/>
      <c r="M34" s="1"/>
      <c r="N34" s="1"/>
      <c r="O34" s="1"/>
      <c r="P34" s="1"/>
      <c r="Q34" s="1"/>
      <c r="R34" s="1"/>
      <c r="S34" s="1"/>
      <c r="T34" s="1"/>
      <c r="U34" s="1"/>
      <c r="V34" s="1"/>
      <c r="W34" s="1"/>
      <c r="X34" s="1"/>
      <c r="Y34" s="1"/>
    </row>
    <row r="35" spans="2:25" ht="15.75" customHeight="1" x14ac:dyDescent="0.25">
      <c r="B35" s="140" t="s">
        <v>42</v>
      </c>
      <c r="C35" s="150">
        <v>100</v>
      </c>
      <c r="D35" s="151">
        <v>1</v>
      </c>
      <c r="E35" s="151">
        <v>4</v>
      </c>
      <c r="F35" s="151">
        <v>0</v>
      </c>
      <c r="G35" s="152">
        <v>25</v>
      </c>
      <c r="H35" s="33"/>
      <c r="I35" s="33"/>
      <c r="J35" s="1"/>
      <c r="K35" s="1"/>
      <c r="L35" s="1"/>
      <c r="M35" s="1"/>
      <c r="N35" s="1"/>
      <c r="O35" s="1"/>
      <c r="P35" s="1"/>
      <c r="Q35" s="1"/>
      <c r="R35" s="1"/>
      <c r="S35" s="1"/>
      <c r="T35" s="1"/>
      <c r="U35" s="1"/>
      <c r="V35" s="1"/>
      <c r="W35" s="1"/>
      <c r="X35" s="1"/>
      <c r="Y35" s="1"/>
    </row>
    <row r="36" spans="2:25" ht="15.75" customHeight="1" x14ac:dyDescent="0.25">
      <c r="B36" s="140" t="s">
        <v>43</v>
      </c>
      <c r="C36" s="150">
        <v>100</v>
      </c>
      <c r="D36" s="151">
        <v>2</v>
      </c>
      <c r="E36" s="151">
        <v>1</v>
      </c>
      <c r="F36" s="151">
        <v>0</v>
      </c>
      <c r="G36" s="152">
        <v>13</v>
      </c>
      <c r="H36" s="33"/>
      <c r="I36" s="33"/>
      <c r="J36" s="1"/>
      <c r="K36" s="1"/>
      <c r="L36" s="1"/>
      <c r="M36" s="1"/>
      <c r="N36" s="1"/>
      <c r="O36" s="1"/>
      <c r="P36" s="1"/>
      <c r="Q36" s="1"/>
      <c r="R36" s="1"/>
      <c r="S36" s="1"/>
      <c r="T36" s="1"/>
      <c r="U36" s="1"/>
      <c r="V36" s="1"/>
      <c r="W36" s="1"/>
      <c r="X36" s="1"/>
      <c r="Y36" s="1"/>
    </row>
    <row r="37" spans="2:25" ht="15.75" customHeight="1" x14ac:dyDescent="0.25">
      <c r="B37" s="140" t="s">
        <v>44</v>
      </c>
      <c r="C37" s="150">
        <v>100</v>
      </c>
      <c r="D37" s="151">
        <v>5</v>
      </c>
      <c r="E37" s="151">
        <v>5</v>
      </c>
      <c r="F37" s="151">
        <v>1</v>
      </c>
      <c r="G37" s="152">
        <v>59</v>
      </c>
      <c r="H37" s="33"/>
      <c r="I37" s="33"/>
      <c r="J37" s="1"/>
      <c r="K37" s="1"/>
      <c r="L37" s="1"/>
      <c r="M37" s="1"/>
      <c r="N37" s="1"/>
      <c r="O37" s="1"/>
      <c r="P37" s="1"/>
      <c r="Q37" s="1"/>
      <c r="R37" s="1"/>
      <c r="S37" s="1"/>
      <c r="T37" s="1"/>
      <c r="U37" s="1"/>
      <c r="V37" s="1"/>
      <c r="W37" s="1"/>
      <c r="X37" s="1"/>
      <c r="Y37" s="1"/>
    </row>
    <row r="38" spans="2:25" ht="15.75" customHeight="1" x14ac:dyDescent="0.25">
      <c r="B38" s="140" t="s">
        <v>45</v>
      </c>
      <c r="C38" s="150">
        <v>100</v>
      </c>
      <c r="D38" s="151">
        <v>18</v>
      </c>
      <c r="E38" s="151">
        <v>0</v>
      </c>
      <c r="F38" s="151">
        <v>13</v>
      </c>
      <c r="G38" s="152">
        <v>188</v>
      </c>
      <c r="H38" s="33"/>
      <c r="I38" s="33"/>
      <c r="J38" s="1"/>
      <c r="K38" s="1"/>
      <c r="L38" s="1"/>
      <c r="M38" s="1"/>
      <c r="N38" s="1"/>
      <c r="O38" s="1"/>
      <c r="P38" s="1"/>
      <c r="Q38" s="1"/>
      <c r="R38" s="1"/>
      <c r="S38" s="1"/>
      <c r="T38" s="1"/>
      <c r="U38" s="1"/>
      <c r="V38" s="1"/>
      <c r="W38" s="1"/>
      <c r="X38" s="1"/>
      <c r="Y38" s="1"/>
    </row>
    <row r="39" spans="2:25" ht="15.75" customHeight="1" x14ac:dyDescent="0.25">
      <c r="B39" s="141" t="s">
        <v>46</v>
      </c>
      <c r="C39" s="147">
        <v>100</v>
      </c>
      <c r="D39" s="148">
        <v>16.2</v>
      </c>
      <c r="E39" s="148">
        <v>0</v>
      </c>
      <c r="F39" s="148">
        <v>39</v>
      </c>
      <c r="G39" s="149">
        <v>416</v>
      </c>
      <c r="H39" s="33"/>
      <c r="I39" s="33"/>
      <c r="J39" s="1"/>
      <c r="K39" s="1"/>
      <c r="L39" s="1"/>
      <c r="M39" s="1"/>
      <c r="N39" s="1"/>
      <c r="O39" s="1"/>
      <c r="P39" s="1"/>
      <c r="Q39" s="1"/>
      <c r="R39" s="1"/>
      <c r="S39" s="1"/>
      <c r="T39" s="1"/>
      <c r="U39" s="1"/>
      <c r="V39" s="1"/>
      <c r="W39" s="1"/>
      <c r="X39" s="1"/>
      <c r="Y39" s="1"/>
    </row>
    <row r="40" spans="2:25" ht="15.75" customHeight="1" x14ac:dyDescent="0.25">
      <c r="B40" s="141" t="s">
        <v>47</v>
      </c>
      <c r="C40" s="147">
        <v>100</v>
      </c>
      <c r="D40" s="148">
        <v>2.6</v>
      </c>
      <c r="E40" s="148">
        <v>23.1</v>
      </c>
      <c r="F40" s="148">
        <v>0.9</v>
      </c>
      <c r="G40" s="149">
        <v>111</v>
      </c>
      <c r="H40" s="33"/>
      <c r="I40" s="33"/>
      <c r="J40" s="1"/>
      <c r="K40" s="1"/>
      <c r="L40" s="1"/>
      <c r="M40" s="1"/>
      <c r="N40" s="1"/>
      <c r="O40" s="1"/>
      <c r="P40" s="1"/>
      <c r="Q40" s="1"/>
      <c r="R40" s="1"/>
      <c r="S40" s="1"/>
      <c r="T40" s="1"/>
      <c r="U40" s="1"/>
      <c r="V40" s="1"/>
      <c r="W40" s="1"/>
      <c r="X40" s="1"/>
      <c r="Y40" s="1"/>
    </row>
    <row r="41" spans="2:25" ht="15.75" customHeight="1" x14ac:dyDescent="0.25">
      <c r="B41" s="141" t="s">
        <v>48</v>
      </c>
      <c r="C41" s="147">
        <v>100</v>
      </c>
      <c r="D41" s="148">
        <v>3</v>
      </c>
      <c r="E41" s="148">
        <v>29</v>
      </c>
      <c r="F41" s="148">
        <v>0</v>
      </c>
      <c r="G41" s="149">
        <v>130</v>
      </c>
      <c r="H41" s="33"/>
      <c r="I41" s="33"/>
      <c r="J41" s="1"/>
      <c r="K41" s="1"/>
      <c r="L41" s="1"/>
      <c r="M41" s="1"/>
      <c r="N41" s="1"/>
      <c r="O41" s="1"/>
      <c r="P41" s="1"/>
      <c r="Q41" s="1"/>
      <c r="R41" s="1"/>
      <c r="S41" s="1"/>
      <c r="T41" s="1"/>
      <c r="U41" s="1"/>
      <c r="V41" s="1"/>
      <c r="W41" s="1"/>
      <c r="X41" s="1"/>
      <c r="Y41" s="1"/>
    </row>
    <row r="42" spans="2:25" ht="15.75" customHeight="1" x14ac:dyDescent="0.25">
      <c r="B42" s="141" t="s">
        <v>49</v>
      </c>
      <c r="C42" s="147">
        <v>100</v>
      </c>
      <c r="D42" s="148">
        <v>1</v>
      </c>
      <c r="E42" s="148">
        <v>0</v>
      </c>
      <c r="F42" s="148">
        <v>4</v>
      </c>
      <c r="G42" s="149">
        <v>18</v>
      </c>
      <c r="H42" s="33"/>
      <c r="I42" s="33"/>
      <c r="J42" s="1"/>
      <c r="K42" s="1"/>
      <c r="L42" s="1"/>
      <c r="M42" s="1"/>
      <c r="N42" s="1"/>
      <c r="O42" s="1"/>
      <c r="P42" s="1"/>
      <c r="Q42" s="1"/>
      <c r="R42" s="1"/>
      <c r="S42" s="1"/>
      <c r="T42" s="1"/>
      <c r="U42" s="1"/>
      <c r="V42" s="1"/>
      <c r="W42" s="1"/>
      <c r="X42" s="1"/>
      <c r="Y42" s="1"/>
    </row>
    <row r="43" spans="2:25" ht="15.75" customHeight="1" x14ac:dyDescent="0.25">
      <c r="B43" s="141" t="s">
        <v>50</v>
      </c>
      <c r="C43" s="147">
        <v>100</v>
      </c>
      <c r="D43" s="148">
        <v>0</v>
      </c>
      <c r="E43" s="148">
        <v>0</v>
      </c>
      <c r="F43" s="148">
        <v>0</v>
      </c>
      <c r="G43" s="149">
        <v>18</v>
      </c>
      <c r="H43" s="31"/>
      <c r="I43" s="31"/>
    </row>
    <row r="44" spans="2:25" ht="15.75" customHeight="1" x14ac:dyDescent="0.25">
      <c r="B44" s="140" t="s">
        <v>51</v>
      </c>
      <c r="C44" s="150">
        <v>100</v>
      </c>
      <c r="D44" s="151">
        <v>0</v>
      </c>
      <c r="E44" s="151">
        <v>13</v>
      </c>
      <c r="F44" s="151">
        <v>0</v>
      </c>
      <c r="G44" s="152">
        <v>63</v>
      </c>
      <c r="H44" s="31"/>
      <c r="I44" s="31"/>
    </row>
    <row r="45" spans="2:25" ht="15.75" customHeight="1" x14ac:dyDescent="0.25">
      <c r="B45" s="140" t="s">
        <v>52</v>
      </c>
      <c r="C45" s="150">
        <v>100</v>
      </c>
      <c r="D45" s="151">
        <v>0</v>
      </c>
      <c r="E45" s="151">
        <v>0</v>
      </c>
      <c r="F45" s="151">
        <v>100</v>
      </c>
      <c r="G45" s="152">
        <v>884</v>
      </c>
      <c r="H45" s="31"/>
      <c r="I45" s="31"/>
    </row>
    <row r="46" spans="2:25" ht="15.75" customHeight="1" x14ac:dyDescent="0.25">
      <c r="B46" s="140" t="s">
        <v>53</v>
      </c>
      <c r="C46" s="150">
        <v>100</v>
      </c>
      <c r="D46" s="151">
        <v>1</v>
      </c>
      <c r="E46" s="151">
        <v>9</v>
      </c>
      <c r="F46" s="151">
        <v>0</v>
      </c>
      <c r="G46" s="152">
        <v>36</v>
      </c>
      <c r="H46" s="31"/>
      <c r="I46" s="31"/>
    </row>
    <row r="47" spans="2:25" ht="15.75" customHeight="1" x14ac:dyDescent="0.25">
      <c r="B47" s="140" t="s">
        <v>54</v>
      </c>
      <c r="C47" s="150">
        <v>100</v>
      </c>
      <c r="D47" s="151">
        <v>1</v>
      </c>
      <c r="E47" s="151">
        <v>4</v>
      </c>
      <c r="F47" s="151">
        <v>0</v>
      </c>
      <c r="G47" s="152">
        <v>15</v>
      </c>
      <c r="H47" s="31"/>
      <c r="I47" s="31"/>
    </row>
    <row r="48" spans="2:25" ht="15.75" customHeight="1" x14ac:dyDescent="0.25">
      <c r="B48" s="140" t="s">
        <v>55</v>
      </c>
      <c r="C48" s="150">
        <v>100</v>
      </c>
      <c r="D48" s="151">
        <v>1</v>
      </c>
      <c r="E48" s="151">
        <v>7</v>
      </c>
      <c r="F48" s="151">
        <v>0</v>
      </c>
      <c r="G48" s="152">
        <v>34</v>
      </c>
      <c r="H48" s="31"/>
      <c r="I48" s="31"/>
    </row>
    <row r="49" spans="2:9" ht="15.75" customHeight="1" x14ac:dyDescent="0.25">
      <c r="B49" s="141" t="s">
        <v>56</v>
      </c>
      <c r="C49" s="147">
        <v>100</v>
      </c>
      <c r="D49" s="148">
        <v>18</v>
      </c>
      <c r="E49" s="148">
        <v>0</v>
      </c>
      <c r="F49" s="148">
        <v>9</v>
      </c>
      <c r="G49" s="149">
        <v>152</v>
      </c>
      <c r="H49" s="31"/>
      <c r="I49" s="31"/>
    </row>
    <row r="50" spans="2:9" ht="15.75" customHeight="1" x14ac:dyDescent="0.25">
      <c r="B50" s="140" t="s">
        <v>57</v>
      </c>
      <c r="C50" s="150">
        <v>100</v>
      </c>
      <c r="D50" s="151">
        <v>20</v>
      </c>
      <c r="E50" s="151">
        <v>0</v>
      </c>
      <c r="F50" s="151">
        <v>4</v>
      </c>
      <c r="G50" s="152">
        <v>116</v>
      </c>
      <c r="H50" s="31"/>
      <c r="I50" s="31"/>
    </row>
    <row r="51" spans="2:9" ht="15.75" customHeight="1" x14ac:dyDescent="0.25">
      <c r="B51" s="141" t="s">
        <v>58</v>
      </c>
      <c r="C51" s="147">
        <v>100</v>
      </c>
      <c r="D51" s="148">
        <v>0</v>
      </c>
      <c r="E51" s="148">
        <v>100</v>
      </c>
      <c r="F51" s="148">
        <v>0</v>
      </c>
      <c r="G51" s="149">
        <v>387</v>
      </c>
      <c r="H51" s="31"/>
      <c r="I51" s="31"/>
    </row>
    <row r="52" spans="2:9" ht="15.75" customHeight="1" x14ac:dyDescent="0.25">
      <c r="B52" s="141" t="s">
        <v>59</v>
      </c>
      <c r="C52" s="147">
        <v>100</v>
      </c>
      <c r="D52" s="148">
        <v>8.4</v>
      </c>
      <c r="E52" s="148">
        <v>74.900000000000006</v>
      </c>
      <c r="F52" s="148">
        <v>1.6</v>
      </c>
      <c r="G52" s="149">
        <v>346</v>
      </c>
      <c r="H52" s="31"/>
      <c r="I52" s="31"/>
    </row>
    <row r="53" spans="2:9" ht="15.75" customHeight="1" x14ac:dyDescent="0.25">
      <c r="B53" s="140" t="s">
        <v>60</v>
      </c>
      <c r="C53" s="150">
        <v>100</v>
      </c>
      <c r="D53" s="151">
        <v>8.1</v>
      </c>
      <c r="E53" s="151">
        <v>75</v>
      </c>
      <c r="F53" s="151">
        <v>1.3</v>
      </c>
      <c r="G53" s="152">
        <v>344</v>
      </c>
      <c r="H53" s="31"/>
      <c r="I53" s="31"/>
    </row>
    <row r="54" spans="2:9" ht="15.75" customHeight="1" x14ac:dyDescent="0.25">
      <c r="B54" s="140" t="s">
        <v>61</v>
      </c>
      <c r="C54" s="150">
        <v>100</v>
      </c>
      <c r="D54" s="151" t="s">
        <v>62</v>
      </c>
      <c r="E54" s="151" t="s">
        <v>63</v>
      </c>
      <c r="F54" s="151">
        <v>0</v>
      </c>
      <c r="G54" s="152">
        <v>43</v>
      </c>
      <c r="H54" s="31"/>
      <c r="I54" s="31"/>
    </row>
    <row r="55" spans="2:9" ht="15.75" customHeight="1" x14ac:dyDescent="0.25">
      <c r="B55" s="141" t="s">
        <v>64</v>
      </c>
      <c r="C55" s="147">
        <v>100</v>
      </c>
      <c r="D55" s="148">
        <v>21.5</v>
      </c>
      <c r="E55" s="148">
        <v>0</v>
      </c>
      <c r="F55" s="148">
        <v>5.5</v>
      </c>
      <c r="G55" s="149">
        <v>136</v>
      </c>
      <c r="H55" s="31"/>
      <c r="I55" s="31"/>
    </row>
    <row r="56" spans="2:9" ht="15.75" customHeight="1" x14ac:dyDescent="0.25">
      <c r="B56" s="140" t="s">
        <v>65</v>
      </c>
      <c r="C56" s="150">
        <v>100</v>
      </c>
      <c r="D56" s="151">
        <v>0</v>
      </c>
      <c r="E56" s="151">
        <v>80</v>
      </c>
      <c r="F56" s="151">
        <v>0</v>
      </c>
      <c r="G56" s="152">
        <v>300</v>
      </c>
      <c r="H56" s="31"/>
      <c r="I56" s="31"/>
    </row>
    <row r="57" spans="2:9" ht="15.75" customHeight="1" x14ac:dyDescent="0.25">
      <c r="B57" s="140" t="s">
        <v>66</v>
      </c>
      <c r="C57" s="150">
        <v>1</v>
      </c>
      <c r="D57" s="151">
        <v>0.2</v>
      </c>
      <c r="E57" s="151">
        <v>0.2</v>
      </c>
      <c r="F57" s="151">
        <v>0.5</v>
      </c>
      <c r="G57" s="152">
        <v>6</v>
      </c>
      <c r="H57" s="31"/>
      <c r="I57" s="31"/>
    </row>
    <row r="58" spans="2:9" ht="15.75" customHeight="1" x14ac:dyDescent="0.25">
      <c r="B58" s="142" t="s">
        <v>67</v>
      </c>
      <c r="C58" s="153">
        <v>100</v>
      </c>
      <c r="D58" s="154">
        <v>0</v>
      </c>
      <c r="E58" s="154">
        <v>60</v>
      </c>
      <c r="F58" s="154">
        <v>40</v>
      </c>
      <c r="G58" s="155">
        <v>600</v>
      </c>
      <c r="H58" s="31"/>
      <c r="I58" s="31"/>
    </row>
    <row r="59" spans="2:9" ht="15.75" customHeight="1" x14ac:dyDescent="0.25">
      <c r="B59" s="143" t="s">
        <v>68</v>
      </c>
      <c r="C59" s="156">
        <v>100</v>
      </c>
      <c r="D59" s="157">
        <v>18</v>
      </c>
      <c r="E59" s="157">
        <v>30</v>
      </c>
      <c r="F59" s="157">
        <v>44</v>
      </c>
      <c r="G59" s="158">
        <v>553</v>
      </c>
      <c r="H59" s="31"/>
      <c r="I59" s="31"/>
    </row>
    <row r="60" spans="2:9" ht="15.75" customHeight="1" x14ac:dyDescent="0.25">
      <c r="B60" s="142" t="s">
        <v>69</v>
      </c>
      <c r="C60" s="153">
        <v>100</v>
      </c>
      <c r="D60" s="154">
        <v>1.4</v>
      </c>
      <c r="E60" s="154">
        <v>17.7</v>
      </c>
      <c r="F60" s="154">
        <v>0.1</v>
      </c>
      <c r="G60" s="155">
        <v>76</v>
      </c>
      <c r="H60" s="31"/>
      <c r="I60" s="31"/>
    </row>
    <row r="61" spans="2:9" ht="15.75" customHeight="1" x14ac:dyDescent="0.25">
      <c r="B61" s="142" t="s">
        <v>70</v>
      </c>
      <c r="C61" s="153">
        <v>100</v>
      </c>
      <c r="D61" s="154">
        <v>2</v>
      </c>
      <c r="E61" s="154">
        <v>20</v>
      </c>
      <c r="F61" s="154">
        <v>0</v>
      </c>
      <c r="G61" s="155">
        <v>86</v>
      </c>
      <c r="H61" s="31"/>
      <c r="I61" s="31"/>
    </row>
    <row r="62" spans="2:9" ht="15.75" customHeight="1" x14ac:dyDescent="0.25">
      <c r="B62" s="142" t="s">
        <v>71</v>
      </c>
      <c r="C62" s="153">
        <v>100</v>
      </c>
      <c r="D62" s="154">
        <v>1.7</v>
      </c>
      <c r="E62" s="154">
        <v>20</v>
      </c>
      <c r="F62" s="154">
        <v>0.1</v>
      </c>
      <c r="G62" s="155">
        <v>86</v>
      </c>
      <c r="H62" s="31"/>
      <c r="I62" s="31"/>
    </row>
    <row r="63" spans="2:9" ht="15.75" customHeight="1" x14ac:dyDescent="0.25">
      <c r="B63" s="142" t="s">
        <v>72</v>
      </c>
      <c r="C63" s="153">
        <v>100</v>
      </c>
      <c r="D63" s="154">
        <v>2</v>
      </c>
      <c r="E63" s="154">
        <v>18.399999999999999</v>
      </c>
      <c r="F63" s="154">
        <v>0.1</v>
      </c>
      <c r="G63" s="155">
        <v>77</v>
      </c>
      <c r="H63" s="31"/>
      <c r="I63" s="31"/>
    </row>
    <row r="64" spans="2:9" ht="15.75" customHeight="1" x14ac:dyDescent="0.25">
      <c r="B64" s="143" t="s">
        <v>73</v>
      </c>
      <c r="C64" s="156">
        <v>100</v>
      </c>
      <c r="D64" s="157">
        <v>2.2000000000000002</v>
      </c>
      <c r="E64" s="157">
        <v>3.9</v>
      </c>
      <c r="F64" s="157">
        <v>0.1</v>
      </c>
      <c r="G64" s="158">
        <v>20</v>
      </c>
      <c r="H64" s="31"/>
      <c r="I64" s="31"/>
    </row>
    <row r="65" spans="2:9" ht="15.75" customHeight="1" x14ac:dyDescent="0.25">
      <c r="B65" s="143" t="s">
        <v>74</v>
      </c>
      <c r="C65" s="156">
        <v>100</v>
      </c>
      <c r="D65" s="157">
        <v>2</v>
      </c>
      <c r="E65" s="157">
        <v>2</v>
      </c>
      <c r="F65" s="157">
        <v>0</v>
      </c>
      <c r="G65" s="158">
        <v>22</v>
      </c>
      <c r="H65" s="31"/>
      <c r="I65" s="31"/>
    </row>
    <row r="66" spans="2:9" ht="15.75" customHeight="1" x14ac:dyDescent="0.25">
      <c r="B66" s="142" t="s">
        <v>75</v>
      </c>
      <c r="C66" s="153">
        <v>1</v>
      </c>
      <c r="D66" s="154">
        <v>2</v>
      </c>
      <c r="E66" s="154">
        <v>4</v>
      </c>
      <c r="F66" s="154">
        <v>12</v>
      </c>
      <c r="G66" s="155">
        <v>132</v>
      </c>
      <c r="H66" s="31" t="s">
        <v>8</v>
      </c>
      <c r="I66" s="31" t="s">
        <v>35</v>
      </c>
    </row>
    <row r="67" spans="2:9" ht="15.75" customHeight="1" x14ac:dyDescent="0.25">
      <c r="B67" s="143" t="s">
        <v>76</v>
      </c>
      <c r="C67" s="156">
        <v>100</v>
      </c>
      <c r="D67" s="157">
        <v>4</v>
      </c>
      <c r="E67" s="157">
        <v>0</v>
      </c>
      <c r="F67" s="157">
        <v>0</v>
      </c>
      <c r="G67" s="158">
        <v>16</v>
      </c>
      <c r="H67" s="31"/>
      <c r="I67" s="31"/>
    </row>
    <row r="68" spans="2:9" ht="15.75" customHeight="1" x14ac:dyDescent="0.25">
      <c r="B68" s="143" t="s">
        <v>77</v>
      </c>
      <c r="C68" s="156">
        <v>100</v>
      </c>
      <c r="D68" s="157">
        <v>2</v>
      </c>
      <c r="E68" s="157">
        <v>0</v>
      </c>
      <c r="F68" s="157">
        <v>0</v>
      </c>
      <c r="G68" s="158">
        <v>8</v>
      </c>
      <c r="H68" s="31"/>
      <c r="I68" s="31"/>
    </row>
    <row r="69" spans="2:9" ht="15.75" customHeight="1" x14ac:dyDescent="0.25">
      <c r="B69" s="142" t="s">
        <v>78</v>
      </c>
      <c r="C69" s="153">
        <v>1</v>
      </c>
      <c r="D69" s="154">
        <v>0</v>
      </c>
      <c r="E69" s="154">
        <v>0</v>
      </c>
      <c r="F69" s="154">
        <v>1</v>
      </c>
      <c r="G69" s="155">
        <v>10</v>
      </c>
      <c r="H69" s="32" t="s">
        <v>8</v>
      </c>
      <c r="I69" s="31" t="s">
        <v>79</v>
      </c>
    </row>
    <row r="70" spans="2:9" ht="15.75" customHeight="1" x14ac:dyDescent="0.25">
      <c r="B70" s="143" t="s">
        <v>80</v>
      </c>
      <c r="C70" s="156">
        <v>100</v>
      </c>
      <c r="D70" s="157">
        <v>1</v>
      </c>
      <c r="E70" s="157">
        <v>5</v>
      </c>
      <c r="F70" s="157">
        <v>0</v>
      </c>
      <c r="G70" s="158">
        <v>28</v>
      </c>
      <c r="H70" s="31"/>
      <c r="I70" s="31"/>
    </row>
    <row r="71" spans="2:9" ht="15.75" customHeight="1" x14ac:dyDescent="0.25">
      <c r="B71" s="143" t="s">
        <v>81</v>
      </c>
      <c r="C71" s="156">
        <v>100</v>
      </c>
      <c r="D71" s="157">
        <v>38</v>
      </c>
      <c r="E71" s="157">
        <v>4</v>
      </c>
      <c r="F71" s="157">
        <v>29</v>
      </c>
      <c r="G71" s="158">
        <v>431</v>
      </c>
      <c r="H71" s="31"/>
      <c r="I71" s="31"/>
    </row>
    <row r="72" spans="2:9" ht="15.75" customHeight="1" x14ac:dyDescent="0.25">
      <c r="B72" s="142" t="s">
        <v>82</v>
      </c>
      <c r="C72" s="153">
        <v>1</v>
      </c>
      <c r="D72" s="154">
        <v>17.899999999999999</v>
      </c>
      <c r="E72" s="154">
        <v>59.3</v>
      </c>
      <c r="F72" s="154">
        <v>11.7</v>
      </c>
      <c r="G72" s="155">
        <v>431</v>
      </c>
      <c r="H72" s="31" t="s">
        <v>8</v>
      </c>
      <c r="I72" s="31" t="s">
        <v>35</v>
      </c>
    </row>
    <row r="73" spans="2:9" ht="15.75" customHeight="1" x14ac:dyDescent="0.25">
      <c r="B73" s="142" t="s">
        <v>83</v>
      </c>
      <c r="C73" s="153">
        <v>1</v>
      </c>
      <c r="D73" s="154">
        <v>21.3</v>
      </c>
      <c r="E73" s="154">
        <v>59.3</v>
      </c>
      <c r="F73" s="154">
        <v>17.899999999999999</v>
      </c>
      <c r="G73" s="155">
        <v>483</v>
      </c>
      <c r="H73" s="31" t="s">
        <v>8</v>
      </c>
      <c r="I73" s="31" t="s">
        <v>35</v>
      </c>
    </row>
    <row r="74" spans="2:9" ht="15.75" customHeight="1" x14ac:dyDescent="0.25">
      <c r="B74" s="143" t="s">
        <v>84</v>
      </c>
      <c r="C74" s="156">
        <v>100</v>
      </c>
      <c r="D74" s="157">
        <v>21</v>
      </c>
      <c r="E74" s="157">
        <v>0</v>
      </c>
      <c r="F74" s="157">
        <v>29</v>
      </c>
      <c r="G74" s="158">
        <v>357</v>
      </c>
      <c r="H74" s="31"/>
      <c r="I74" s="31"/>
    </row>
    <row r="75" spans="2:9" ht="15.75" customHeight="1" x14ac:dyDescent="0.25">
      <c r="B75" s="143" t="s">
        <v>85</v>
      </c>
      <c r="C75" s="159">
        <v>100</v>
      </c>
      <c r="D75" s="160">
        <v>25</v>
      </c>
      <c r="E75" s="160">
        <v>4</v>
      </c>
      <c r="F75" s="160">
        <v>36</v>
      </c>
      <c r="G75" s="161">
        <v>429</v>
      </c>
      <c r="H75" s="31"/>
      <c r="I75" s="31"/>
    </row>
    <row r="76" spans="2:9" ht="15.75" customHeight="1" x14ac:dyDescent="0.25">
      <c r="B76" s="143" t="s">
        <v>86</v>
      </c>
      <c r="C76" s="156">
        <v>100</v>
      </c>
      <c r="D76" s="157">
        <v>21</v>
      </c>
      <c r="E76" s="157">
        <v>0</v>
      </c>
      <c r="F76" s="157">
        <v>7</v>
      </c>
      <c r="G76" s="158">
        <v>152</v>
      </c>
      <c r="H76" s="31"/>
      <c r="I76" s="31"/>
    </row>
    <row r="77" spans="2:9" ht="15.75" customHeight="1" x14ac:dyDescent="0.25">
      <c r="B77" s="143" t="s">
        <v>87</v>
      </c>
      <c r="C77" s="156">
        <v>100</v>
      </c>
      <c r="D77" s="157">
        <v>1</v>
      </c>
      <c r="E77" s="157">
        <v>2</v>
      </c>
      <c r="F77" s="157">
        <v>0</v>
      </c>
      <c r="G77" s="158">
        <v>17</v>
      </c>
      <c r="H77" s="31"/>
      <c r="I77" s="31"/>
    </row>
    <row r="78" spans="2:9" ht="15.75" customHeight="1" x14ac:dyDescent="0.25">
      <c r="B78" s="143" t="s">
        <v>88</v>
      </c>
      <c r="C78" s="156">
        <v>100</v>
      </c>
      <c r="D78" s="157">
        <v>10.6</v>
      </c>
      <c r="E78" s="157">
        <v>6.1</v>
      </c>
      <c r="F78" s="157">
        <v>1.4</v>
      </c>
      <c r="G78" s="158">
        <v>160</v>
      </c>
      <c r="H78" s="31"/>
      <c r="I78" s="31"/>
    </row>
    <row r="79" spans="2:9" ht="15.75" customHeight="1" x14ac:dyDescent="0.25">
      <c r="B79" s="143" t="s">
        <v>89</v>
      </c>
      <c r="C79" s="156">
        <v>100</v>
      </c>
      <c r="D79" s="157">
        <v>2.6</v>
      </c>
      <c r="E79" s="157">
        <v>3</v>
      </c>
      <c r="F79" s="157">
        <v>0.2</v>
      </c>
      <c r="G79" s="158">
        <v>18</v>
      </c>
      <c r="H79" s="31"/>
      <c r="I79" s="31"/>
    </row>
    <row r="80" spans="2:9" ht="15.75" customHeight="1" x14ac:dyDescent="0.25">
      <c r="B80" s="143" t="s">
        <v>90</v>
      </c>
      <c r="C80" s="156">
        <v>100</v>
      </c>
      <c r="D80" s="157">
        <v>2</v>
      </c>
      <c r="E80" s="157">
        <v>1</v>
      </c>
      <c r="F80" s="157">
        <v>0</v>
      </c>
      <c r="G80" s="158">
        <v>24</v>
      </c>
      <c r="H80" s="31"/>
      <c r="I80" s="31"/>
    </row>
    <row r="81" spans="2:9" ht="15.75" customHeight="1" x14ac:dyDescent="0.25">
      <c r="B81" s="143" t="s">
        <v>91</v>
      </c>
      <c r="C81" s="156">
        <v>100</v>
      </c>
      <c r="D81" s="157">
        <v>13</v>
      </c>
      <c r="E81" s="157">
        <v>0</v>
      </c>
      <c r="F81" s="157">
        <v>4</v>
      </c>
      <c r="G81" s="158">
        <v>89</v>
      </c>
      <c r="H81" s="31"/>
      <c r="I81" s="31"/>
    </row>
    <row r="82" spans="2:9" ht="15.75" customHeight="1" x14ac:dyDescent="0.25">
      <c r="B82" s="142" t="s">
        <v>92</v>
      </c>
      <c r="C82" s="153">
        <v>100</v>
      </c>
      <c r="D82" s="154">
        <v>3.5</v>
      </c>
      <c r="E82" s="154">
        <v>15.4</v>
      </c>
      <c r="F82" s="154">
        <v>3</v>
      </c>
      <c r="G82" s="155">
        <v>102.6</v>
      </c>
      <c r="H82" s="31"/>
      <c r="I82" s="31"/>
    </row>
    <row r="83" spans="2:9" ht="15.75" customHeight="1" x14ac:dyDescent="0.25">
      <c r="B83" s="142" t="s">
        <v>93</v>
      </c>
      <c r="C83" s="153">
        <v>100</v>
      </c>
      <c r="D83" s="154">
        <v>3.7</v>
      </c>
      <c r="E83" s="154">
        <v>4.5</v>
      </c>
      <c r="F83" s="154">
        <v>3</v>
      </c>
      <c r="G83" s="155">
        <v>60</v>
      </c>
      <c r="H83" s="31"/>
      <c r="I83" s="31"/>
    </row>
    <row r="84" spans="2:9" ht="15.75" customHeight="1" x14ac:dyDescent="0.25">
      <c r="B84" s="144" t="s">
        <v>94</v>
      </c>
      <c r="C84" s="162">
        <v>100</v>
      </c>
      <c r="D84" s="163">
        <v>3.5</v>
      </c>
      <c r="E84" s="163">
        <v>5.0999999999999996</v>
      </c>
      <c r="F84" s="163">
        <v>0.1</v>
      </c>
      <c r="G84" s="164">
        <v>35</v>
      </c>
      <c r="H84" s="31"/>
      <c r="I84" s="31"/>
    </row>
    <row r="85" spans="2:9" ht="15.75" customHeight="1" x14ac:dyDescent="0.25">
      <c r="B85" s="142" t="s">
        <v>95</v>
      </c>
      <c r="C85" s="153">
        <v>100</v>
      </c>
      <c r="D85" s="154">
        <v>3.2</v>
      </c>
      <c r="E85" s="154">
        <v>5</v>
      </c>
      <c r="F85" s="154">
        <v>3.4</v>
      </c>
      <c r="G85" s="155">
        <v>64</v>
      </c>
      <c r="H85" s="31"/>
      <c r="I85" s="31"/>
    </row>
    <row r="86" spans="2:9" ht="15.75" customHeight="1" x14ac:dyDescent="0.25">
      <c r="B86" s="142" t="s">
        <v>96</v>
      </c>
      <c r="C86" s="153">
        <v>100</v>
      </c>
      <c r="D86" s="154">
        <v>3.2</v>
      </c>
      <c r="E86" s="154">
        <v>4.4000000000000004</v>
      </c>
      <c r="F86" s="154">
        <v>3.8</v>
      </c>
      <c r="G86" s="155">
        <v>65</v>
      </c>
      <c r="H86" s="31"/>
      <c r="I86" s="31"/>
    </row>
    <row r="87" spans="2:9" ht="15.75" customHeight="1" x14ac:dyDescent="0.25">
      <c r="B87" s="142" t="s">
        <v>97</v>
      </c>
      <c r="C87" s="153">
        <v>100</v>
      </c>
      <c r="D87" s="154">
        <v>2.9</v>
      </c>
      <c r="E87" s="154">
        <v>8</v>
      </c>
      <c r="F87" s="154">
        <v>3.2</v>
      </c>
      <c r="G87" s="155">
        <v>72</v>
      </c>
      <c r="H87" s="31"/>
      <c r="I87" s="31"/>
    </row>
    <row r="88" spans="2:9" ht="15.75" customHeight="1" x14ac:dyDescent="0.25">
      <c r="B88" s="143" t="s">
        <v>98</v>
      </c>
      <c r="C88" s="156">
        <v>100</v>
      </c>
      <c r="D88" s="157">
        <v>22</v>
      </c>
      <c r="E88" s="157">
        <v>0</v>
      </c>
      <c r="F88" s="157">
        <v>42</v>
      </c>
      <c r="G88" s="158">
        <v>471</v>
      </c>
      <c r="H88" s="31"/>
      <c r="I88" s="31"/>
    </row>
    <row r="89" spans="2:9" ht="15.75" customHeight="1" x14ac:dyDescent="0.25">
      <c r="B89" s="143" t="s">
        <v>99</v>
      </c>
      <c r="C89" s="156">
        <v>100</v>
      </c>
      <c r="D89" s="157">
        <v>24</v>
      </c>
      <c r="E89" s="157">
        <v>0</v>
      </c>
      <c r="F89" s="157">
        <v>25</v>
      </c>
      <c r="G89" s="158">
        <v>324</v>
      </c>
      <c r="H89" s="31"/>
      <c r="I89" s="31"/>
    </row>
    <row r="90" spans="2:9" ht="15.75" customHeight="1" x14ac:dyDescent="0.25">
      <c r="B90" s="140" t="s">
        <v>100</v>
      </c>
      <c r="C90" s="165">
        <v>100</v>
      </c>
      <c r="D90" s="166">
        <v>20</v>
      </c>
      <c r="E90" s="166">
        <v>0</v>
      </c>
      <c r="F90" s="166">
        <v>11</v>
      </c>
      <c r="G90" s="167">
        <v>186</v>
      </c>
      <c r="H90" s="31"/>
      <c r="I90" s="31"/>
    </row>
    <row r="91" spans="2:9" ht="15.75" customHeight="1" x14ac:dyDescent="0.25">
      <c r="B91" s="143" t="s">
        <v>101</v>
      </c>
      <c r="C91" s="156">
        <v>100</v>
      </c>
      <c r="D91" s="157">
        <v>19</v>
      </c>
      <c r="E91" s="157">
        <v>0</v>
      </c>
      <c r="F91" s="157">
        <v>2</v>
      </c>
      <c r="G91" s="158">
        <v>97</v>
      </c>
      <c r="H91" s="31"/>
      <c r="I91" s="31"/>
    </row>
    <row r="92" spans="2:9" ht="15.75" customHeight="1" x14ac:dyDescent="0.25">
      <c r="B92" s="143" t="s">
        <v>102</v>
      </c>
      <c r="C92" s="156">
        <v>100</v>
      </c>
      <c r="D92" s="157">
        <v>18</v>
      </c>
      <c r="E92" s="157">
        <v>0</v>
      </c>
      <c r="F92" s="157">
        <v>13</v>
      </c>
      <c r="G92" s="158">
        <v>188</v>
      </c>
      <c r="H92" s="31"/>
      <c r="I92" s="31"/>
    </row>
    <row r="93" spans="2:9" ht="15.75" customHeight="1" x14ac:dyDescent="0.25">
      <c r="B93" s="142" t="s">
        <v>103</v>
      </c>
      <c r="C93" s="153">
        <v>100</v>
      </c>
      <c r="D93" s="154">
        <v>20.399999999999999</v>
      </c>
      <c r="E93" s="154">
        <v>6.1</v>
      </c>
      <c r="F93" s="154">
        <v>7.2</v>
      </c>
      <c r="G93" s="155">
        <v>172</v>
      </c>
      <c r="H93" s="31"/>
      <c r="I93" s="31"/>
    </row>
    <row r="94" spans="2:9" ht="15.75" customHeight="1" x14ac:dyDescent="0.25">
      <c r="B94" s="143" t="s">
        <v>104</v>
      </c>
      <c r="C94" s="156">
        <v>100</v>
      </c>
      <c r="D94" s="157">
        <v>6</v>
      </c>
      <c r="E94" s="157">
        <v>33</v>
      </c>
      <c r="F94" s="157">
        <v>0</v>
      </c>
      <c r="G94" s="158">
        <v>149</v>
      </c>
      <c r="H94" s="31"/>
      <c r="I94" s="31"/>
    </row>
    <row r="95" spans="2:9" ht="15.75" customHeight="1" x14ac:dyDescent="0.25">
      <c r="B95" s="143" t="s">
        <v>105</v>
      </c>
      <c r="C95" s="156">
        <v>100</v>
      </c>
      <c r="D95" s="157">
        <v>20</v>
      </c>
      <c r="E95" s="157">
        <v>0</v>
      </c>
      <c r="F95" s="157">
        <v>1</v>
      </c>
      <c r="G95" s="158">
        <v>85</v>
      </c>
      <c r="H95" s="31"/>
      <c r="I95" s="31"/>
    </row>
    <row r="96" spans="2:9" ht="15.75" customHeight="1" x14ac:dyDescent="0.25">
      <c r="B96" s="143" t="s">
        <v>106</v>
      </c>
      <c r="C96" s="156">
        <v>100</v>
      </c>
      <c r="D96" s="157">
        <v>14</v>
      </c>
      <c r="E96" s="157">
        <v>12</v>
      </c>
      <c r="F96" s="157">
        <v>12</v>
      </c>
      <c r="G96" s="158">
        <v>221</v>
      </c>
      <c r="H96" s="32" t="s">
        <v>8</v>
      </c>
      <c r="I96" s="31" t="s">
        <v>41</v>
      </c>
    </row>
    <row r="97" spans="2:9" ht="15.75" customHeight="1" x14ac:dyDescent="0.25">
      <c r="B97" s="143" t="s">
        <v>107</v>
      </c>
      <c r="C97" s="156">
        <v>100</v>
      </c>
      <c r="D97" s="157">
        <v>13</v>
      </c>
      <c r="E97" s="157">
        <v>1</v>
      </c>
      <c r="F97" s="157">
        <v>10</v>
      </c>
      <c r="G97" s="158">
        <v>143</v>
      </c>
      <c r="H97" s="31"/>
      <c r="I97" s="31"/>
    </row>
    <row r="98" spans="2:9" ht="15.75" customHeight="1" x14ac:dyDescent="0.25">
      <c r="B98" s="143" t="s">
        <v>108</v>
      </c>
      <c r="C98" s="156">
        <v>100</v>
      </c>
      <c r="D98" s="157">
        <v>11</v>
      </c>
      <c r="E98" s="157">
        <v>0</v>
      </c>
      <c r="F98" s="157">
        <v>0</v>
      </c>
      <c r="G98" s="158">
        <v>52</v>
      </c>
      <c r="H98" s="31"/>
      <c r="I98" s="31"/>
    </row>
    <row r="99" spans="2:9" ht="15.75" customHeight="1" x14ac:dyDescent="0.25">
      <c r="B99" s="143" t="s">
        <v>109</v>
      </c>
      <c r="C99" s="156">
        <v>100</v>
      </c>
      <c r="D99" s="157">
        <v>21</v>
      </c>
      <c r="E99" s="157">
        <v>0</v>
      </c>
      <c r="F99" s="157">
        <v>3</v>
      </c>
      <c r="G99" s="158">
        <v>119</v>
      </c>
      <c r="H99" s="31"/>
      <c r="I99" s="31"/>
    </row>
    <row r="100" spans="2:9" ht="15.75" customHeight="1" x14ac:dyDescent="0.25">
      <c r="B100" s="143" t="s">
        <v>110</v>
      </c>
      <c r="C100" s="156">
        <v>100</v>
      </c>
      <c r="D100" s="157">
        <v>1</v>
      </c>
      <c r="E100" s="157">
        <v>12</v>
      </c>
      <c r="F100" s="157">
        <v>0</v>
      </c>
      <c r="G100" s="158">
        <v>57</v>
      </c>
      <c r="H100" s="31"/>
      <c r="I100" s="31"/>
    </row>
    <row r="101" spans="2:9" ht="15.75" customHeight="1" x14ac:dyDescent="0.25">
      <c r="B101" s="142" t="s">
        <v>259</v>
      </c>
      <c r="C101" s="153">
        <v>1</v>
      </c>
      <c r="D101" s="154">
        <v>25</v>
      </c>
      <c r="E101" s="154">
        <v>2</v>
      </c>
      <c r="F101" s="154">
        <v>0.5</v>
      </c>
      <c r="G101" s="155">
        <v>110</v>
      </c>
      <c r="H101" s="31" t="s">
        <v>8</v>
      </c>
      <c r="I101" s="31" t="s">
        <v>111</v>
      </c>
    </row>
    <row r="102" spans="2:9" ht="15.75" customHeight="1" x14ac:dyDescent="0.25">
      <c r="B102" s="142" t="s">
        <v>112</v>
      </c>
      <c r="C102" s="153">
        <v>100</v>
      </c>
      <c r="D102" s="154">
        <v>2</v>
      </c>
      <c r="E102" s="154">
        <v>21</v>
      </c>
      <c r="F102" s="154">
        <v>0.2</v>
      </c>
      <c r="G102" s="155">
        <v>97</v>
      </c>
      <c r="H102" s="31"/>
      <c r="I102" s="31"/>
    </row>
    <row r="103" spans="2:9" ht="15.75" customHeight="1" x14ac:dyDescent="0.25">
      <c r="B103" s="143" t="s">
        <v>113</v>
      </c>
      <c r="C103" s="156">
        <v>100</v>
      </c>
      <c r="D103" s="157">
        <v>0</v>
      </c>
      <c r="E103" s="157">
        <v>0</v>
      </c>
      <c r="F103" s="157">
        <v>73</v>
      </c>
      <c r="G103" s="158">
        <v>733</v>
      </c>
      <c r="H103" s="31"/>
      <c r="I103" s="31"/>
    </row>
    <row r="104" spans="2:9" ht="15.75" customHeight="1" x14ac:dyDescent="0.25">
      <c r="B104" s="142" t="s">
        <v>114</v>
      </c>
      <c r="C104" s="153">
        <v>100</v>
      </c>
      <c r="D104" s="154">
        <v>12</v>
      </c>
      <c r="E104" s="154">
        <v>71</v>
      </c>
      <c r="F104" s="154">
        <v>8</v>
      </c>
      <c r="G104" s="155">
        <v>396</v>
      </c>
      <c r="H104" s="31"/>
      <c r="I104" s="31"/>
    </row>
    <row r="105" spans="2:9" ht="15.75" customHeight="1" x14ac:dyDescent="0.25">
      <c r="B105" s="142" t="s">
        <v>115</v>
      </c>
      <c r="C105" s="153">
        <v>100</v>
      </c>
      <c r="D105" s="168">
        <v>8.1</v>
      </c>
      <c r="E105" s="168">
        <v>1.9</v>
      </c>
      <c r="F105" s="168">
        <v>4.8</v>
      </c>
      <c r="G105" s="155">
        <v>76</v>
      </c>
      <c r="H105" s="31"/>
      <c r="I105" s="31"/>
    </row>
    <row r="106" spans="2:9" ht="15.75" customHeight="1" x14ac:dyDescent="0.25">
      <c r="B106" s="142" t="s">
        <v>133</v>
      </c>
      <c r="C106" s="153">
        <v>100</v>
      </c>
      <c r="D106" s="154">
        <v>1.1000000000000001</v>
      </c>
      <c r="E106" s="154">
        <v>23</v>
      </c>
      <c r="F106" s="154">
        <v>0</v>
      </c>
      <c r="G106" s="155">
        <v>88</v>
      </c>
      <c r="H106" s="31"/>
      <c r="I106" s="31"/>
    </row>
    <row r="107" spans="2:9" ht="15.75" customHeight="1" x14ac:dyDescent="0.2">
      <c r="B107" s="145"/>
      <c r="C107" s="169"/>
      <c r="D107" s="170"/>
      <c r="E107" s="170"/>
      <c r="F107" s="170"/>
      <c r="G107" s="171"/>
    </row>
    <row r="108" spans="2:9" ht="15.75" customHeight="1" x14ac:dyDescent="0.2">
      <c r="B108" s="145"/>
      <c r="C108" s="169"/>
      <c r="D108" s="170"/>
      <c r="E108" s="170"/>
      <c r="F108" s="170"/>
      <c r="G108" s="171"/>
    </row>
    <row r="109" spans="2:9" ht="15.75" customHeight="1" x14ac:dyDescent="0.2">
      <c r="B109" s="145"/>
      <c r="C109" s="169"/>
      <c r="D109" s="170"/>
      <c r="E109" s="170"/>
      <c r="F109" s="170"/>
      <c r="G109" s="171"/>
    </row>
    <row r="110" spans="2:9" ht="15.75" customHeight="1" x14ac:dyDescent="0.2">
      <c r="B110" s="145"/>
      <c r="C110" s="169"/>
      <c r="D110" s="170"/>
      <c r="E110" s="170"/>
      <c r="F110" s="170"/>
      <c r="G110" s="171"/>
    </row>
    <row r="111" spans="2:9" ht="15.75" customHeight="1" x14ac:dyDescent="0.2">
      <c r="B111" s="145"/>
      <c r="C111" s="169"/>
      <c r="D111" s="170"/>
      <c r="E111" s="170"/>
      <c r="F111" s="170"/>
      <c r="G111" s="171"/>
    </row>
    <row r="112" spans="2:9" ht="15.75" customHeight="1" x14ac:dyDescent="0.2">
      <c r="B112" s="145"/>
      <c r="C112" s="169"/>
      <c r="D112" s="170"/>
      <c r="E112" s="170"/>
      <c r="F112" s="170"/>
      <c r="G112" s="171"/>
    </row>
    <row r="113" spans="2:7" ht="15.75" customHeight="1" x14ac:dyDescent="0.2">
      <c r="B113" s="145"/>
      <c r="C113" s="169"/>
      <c r="D113" s="170"/>
      <c r="E113" s="170"/>
      <c r="F113" s="170"/>
      <c r="G113" s="171"/>
    </row>
    <row r="114" spans="2:7" ht="15.75" customHeight="1" x14ac:dyDescent="0.2">
      <c r="B114" s="145"/>
      <c r="C114" s="169"/>
      <c r="D114" s="170"/>
      <c r="E114" s="170"/>
      <c r="F114" s="170"/>
      <c r="G114" s="171"/>
    </row>
    <row r="115" spans="2:7" ht="15.75" customHeight="1" x14ac:dyDescent="0.2">
      <c r="B115" s="145"/>
      <c r="C115" s="169"/>
      <c r="D115" s="170"/>
      <c r="E115" s="170"/>
      <c r="F115" s="170"/>
      <c r="G115" s="171"/>
    </row>
    <row r="116" spans="2:7" ht="15.75" customHeight="1" x14ac:dyDescent="0.2">
      <c r="B116" s="145"/>
      <c r="C116" s="169"/>
      <c r="D116" s="170"/>
      <c r="E116" s="170"/>
      <c r="F116" s="170"/>
      <c r="G116" s="171"/>
    </row>
    <row r="117" spans="2:7" ht="15.75" customHeight="1" x14ac:dyDescent="0.2">
      <c r="B117" s="145"/>
      <c r="C117" s="169"/>
      <c r="D117" s="170"/>
      <c r="E117" s="170"/>
      <c r="F117" s="170"/>
      <c r="G117" s="171"/>
    </row>
    <row r="118" spans="2:7" ht="15.75" customHeight="1" x14ac:dyDescent="0.2">
      <c r="B118" s="145"/>
      <c r="C118" s="169"/>
      <c r="D118" s="170"/>
      <c r="E118" s="170"/>
      <c r="F118" s="170"/>
      <c r="G118" s="171"/>
    </row>
    <row r="119" spans="2:7" ht="15.75" customHeight="1" x14ac:dyDescent="0.2">
      <c r="B119" s="145"/>
      <c r="C119" s="169"/>
      <c r="D119" s="170"/>
      <c r="E119" s="170"/>
      <c r="F119" s="170"/>
      <c r="G119" s="171"/>
    </row>
    <row r="120" spans="2:7" ht="15.75" customHeight="1" x14ac:dyDescent="0.2">
      <c r="B120" s="145"/>
      <c r="C120" s="169"/>
      <c r="D120" s="170"/>
      <c r="E120" s="170"/>
      <c r="F120" s="170"/>
      <c r="G120" s="171"/>
    </row>
    <row r="121" spans="2:7" ht="15.75" customHeight="1" x14ac:dyDescent="0.2">
      <c r="B121" s="145"/>
      <c r="C121" s="169"/>
      <c r="D121" s="170"/>
      <c r="E121" s="170"/>
      <c r="F121" s="170"/>
      <c r="G121" s="171"/>
    </row>
    <row r="122" spans="2:7" ht="15.75" customHeight="1" x14ac:dyDescent="0.2">
      <c r="B122" s="145"/>
      <c r="C122" s="169"/>
      <c r="D122" s="170"/>
      <c r="E122" s="170"/>
      <c r="F122" s="170"/>
      <c r="G122" s="171"/>
    </row>
    <row r="123" spans="2:7" ht="15.75" customHeight="1" x14ac:dyDescent="0.2">
      <c r="B123" s="145"/>
      <c r="C123" s="169"/>
      <c r="D123" s="170"/>
      <c r="E123" s="170"/>
      <c r="F123" s="170"/>
      <c r="G123" s="171"/>
    </row>
    <row r="124" spans="2:7" ht="15.75" customHeight="1" x14ac:dyDescent="0.2">
      <c r="B124" s="145"/>
      <c r="C124" s="169"/>
      <c r="D124" s="170"/>
      <c r="E124" s="170"/>
      <c r="F124" s="170"/>
      <c r="G124" s="171"/>
    </row>
    <row r="125" spans="2:7" ht="15.75" customHeight="1" x14ac:dyDescent="0.2">
      <c r="B125" s="145"/>
      <c r="C125" s="169"/>
      <c r="D125" s="170"/>
      <c r="E125" s="170"/>
      <c r="F125" s="170"/>
      <c r="G125" s="171"/>
    </row>
    <row r="126" spans="2:7" ht="15.75" customHeight="1" x14ac:dyDescent="0.2">
      <c r="B126" s="145"/>
      <c r="C126" s="169"/>
      <c r="D126" s="170"/>
      <c r="E126" s="170"/>
      <c r="F126" s="170"/>
      <c r="G126" s="171"/>
    </row>
    <row r="127" spans="2:7" ht="15.75" customHeight="1" x14ac:dyDescent="0.2">
      <c r="B127" s="145"/>
      <c r="C127" s="169"/>
      <c r="D127" s="170"/>
      <c r="E127" s="170"/>
      <c r="F127" s="170"/>
      <c r="G127" s="171"/>
    </row>
    <row r="128" spans="2:7" ht="15.75" customHeight="1" x14ac:dyDescent="0.2">
      <c r="B128" s="145"/>
      <c r="C128" s="169"/>
      <c r="D128" s="170"/>
      <c r="E128" s="170"/>
      <c r="F128" s="170"/>
      <c r="G128" s="171"/>
    </row>
    <row r="129" spans="2:7" ht="15.75" customHeight="1" x14ac:dyDescent="0.2">
      <c r="B129" s="145"/>
      <c r="C129" s="169"/>
      <c r="D129" s="170"/>
      <c r="E129" s="170"/>
      <c r="F129" s="170"/>
      <c r="G129" s="171"/>
    </row>
    <row r="130" spans="2:7" ht="15.75" customHeight="1" x14ac:dyDescent="0.2">
      <c r="B130" s="145"/>
      <c r="C130" s="169"/>
      <c r="D130" s="170"/>
      <c r="E130" s="170"/>
      <c r="F130" s="170"/>
      <c r="G130" s="171"/>
    </row>
    <row r="131" spans="2:7" ht="15.75" customHeight="1" x14ac:dyDescent="0.2">
      <c r="B131" s="145"/>
      <c r="C131" s="169"/>
      <c r="D131" s="170"/>
      <c r="E131" s="170"/>
      <c r="F131" s="170"/>
      <c r="G131" s="171"/>
    </row>
    <row r="132" spans="2:7" ht="15.75" customHeight="1" x14ac:dyDescent="0.2">
      <c r="B132" s="145"/>
      <c r="C132" s="169"/>
      <c r="D132" s="170"/>
      <c r="E132" s="170"/>
      <c r="F132" s="170"/>
      <c r="G132" s="171"/>
    </row>
    <row r="133" spans="2:7" ht="15.75" customHeight="1" x14ac:dyDescent="0.2">
      <c r="B133" s="145"/>
      <c r="C133" s="169"/>
      <c r="D133" s="170"/>
      <c r="E133" s="170"/>
      <c r="F133" s="170"/>
      <c r="G133" s="171"/>
    </row>
    <row r="134" spans="2:7" ht="15.75" customHeight="1" x14ac:dyDescent="0.2">
      <c r="B134" s="145"/>
      <c r="C134" s="169"/>
      <c r="D134" s="170"/>
      <c r="E134" s="170"/>
      <c r="F134" s="170"/>
      <c r="G134" s="171"/>
    </row>
    <row r="135" spans="2:7" ht="15.75" customHeight="1" x14ac:dyDescent="0.2">
      <c r="B135" s="145"/>
      <c r="C135" s="169"/>
      <c r="D135" s="170"/>
      <c r="E135" s="170"/>
      <c r="F135" s="170"/>
      <c r="G135" s="171"/>
    </row>
    <row r="136" spans="2:7" ht="15.75" customHeight="1" x14ac:dyDescent="0.2">
      <c r="B136" s="145"/>
      <c r="C136" s="169"/>
      <c r="D136" s="170"/>
      <c r="E136" s="170"/>
      <c r="F136" s="170"/>
      <c r="G136" s="171"/>
    </row>
    <row r="137" spans="2:7" ht="15.75" customHeight="1" x14ac:dyDescent="0.2">
      <c r="B137" s="145"/>
      <c r="C137" s="169"/>
      <c r="D137" s="170"/>
      <c r="E137" s="170"/>
      <c r="F137" s="170"/>
      <c r="G137" s="171"/>
    </row>
    <row r="138" spans="2:7" ht="15.75" customHeight="1" x14ac:dyDescent="0.2">
      <c r="B138" s="145"/>
      <c r="C138" s="169"/>
      <c r="D138" s="170"/>
      <c r="E138" s="170"/>
      <c r="F138" s="170"/>
      <c r="G138" s="171"/>
    </row>
    <row r="139" spans="2:7" ht="15.75" customHeight="1" x14ac:dyDescent="0.2">
      <c r="B139" s="145"/>
      <c r="C139" s="169"/>
      <c r="D139" s="170"/>
      <c r="E139" s="170"/>
      <c r="F139" s="170"/>
      <c r="G139" s="171"/>
    </row>
    <row r="140" spans="2:7" ht="15.75" customHeight="1" x14ac:dyDescent="0.2">
      <c r="B140" s="145"/>
      <c r="C140" s="169"/>
      <c r="D140" s="170"/>
      <c r="E140" s="170"/>
      <c r="F140" s="170"/>
      <c r="G140" s="171"/>
    </row>
    <row r="141" spans="2:7" ht="15.75" customHeight="1" x14ac:dyDescent="0.2">
      <c r="B141" s="145"/>
      <c r="C141" s="169"/>
      <c r="D141" s="170"/>
      <c r="E141" s="170"/>
      <c r="F141" s="170"/>
      <c r="G141" s="171"/>
    </row>
    <row r="142" spans="2:7" ht="15.75" customHeight="1" x14ac:dyDescent="0.2">
      <c r="B142" s="145"/>
      <c r="C142" s="169"/>
      <c r="D142" s="170"/>
      <c r="E142" s="170"/>
      <c r="F142" s="170"/>
      <c r="G142" s="171"/>
    </row>
    <row r="143" spans="2:7" ht="15.75" customHeight="1" x14ac:dyDescent="0.2">
      <c r="B143" s="145"/>
      <c r="C143" s="169"/>
      <c r="D143" s="170"/>
      <c r="E143" s="170"/>
      <c r="F143" s="170"/>
      <c r="G143" s="171"/>
    </row>
    <row r="144" spans="2:7" ht="15.75" customHeight="1" x14ac:dyDescent="0.2">
      <c r="B144" s="145"/>
      <c r="C144" s="169"/>
      <c r="D144" s="170"/>
      <c r="E144" s="170"/>
      <c r="F144" s="170"/>
      <c r="G144" s="171"/>
    </row>
    <row r="145" spans="2:7" ht="15.75" customHeight="1" x14ac:dyDescent="0.2">
      <c r="B145" s="145"/>
      <c r="C145" s="169"/>
      <c r="D145" s="170"/>
      <c r="E145" s="170"/>
      <c r="F145" s="170"/>
      <c r="G145" s="171"/>
    </row>
    <row r="146" spans="2:7" ht="15.75" customHeight="1" x14ac:dyDescent="0.2">
      <c r="B146" s="145"/>
      <c r="C146" s="169"/>
      <c r="D146" s="170"/>
      <c r="E146" s="170"/>
      <c r="F146" s="170"/>
      <c r="G146" s="171"/>
    </row>
    <row r="147" spans="2:7" ht="15.75" customHeight="1" x14ac:dyDescent="0.2">
      <c r="B147" s="145"/>
      <c r="C147" s="169"/>
      <c r="D147" s="170"/>
      <c r="E147" s="170"/>
      <c r="F147" s="170"/>
      <c r="G147" s="171"/>
    </row>
    <row r="148" spans="2:7" ht="15.75" customHeight="1" x14ac:dyDescent="0.2">
      <c r="B148" s="145"/>
      <c r="C148" s="169"/>
      <c r="D148" s="170"/>
      <c r="E148" s="170"/>
      <c r="F148" s="170"/>
      <c r="G148" s="171"/>
    </row>
    <row r="149" spans="2:7" ht="15.75" customHeight="1" x14ac:dyDescent="0.2">
      <c r="B149" s="145"/>
      <c r="C149" s="169"/>
      <c r="D149" s="170"/>
      <c r="E149" s="170"/>
      <c r="F149" s="170"/>
      <c r="G149" s="171"/>
    </row>
    <row r="150" spans="2:7" ht="15.75" customHeight="1" x14ac:dyDescent="0.2">
      <c r="B150" s="145"/>
      <c r="C150" s="169"/>
      <c r="D150" s="170"/>
      <c r="E150" s="170"/>
      <c r="F150" s="170"/>
      <c r="G150" s="171"/>
    </row>
    <row r="151" spans="2:7" ht="15.75" customHeight="1" x14ac:dyDescent="0.2">
      <c r="B151" s="145"/>
      <c r="C151" s="169"/>
      <c r="D151" s="170"/>
      <c r="E151" s="170"/>
      <c r="F151" s="170"/>
      <c r="G151" s="171"/>
    </row>
    <row r="152" spans="2:7" ht="15.75" customHeight="1" x14ac:dyDescent="0.2">
      <c r="B152" s="145"/>
      <c r="C152" s="169"/>
      <c r="D152" s="170"/>
      <c r="E152" s="170"/>
      <c r="F152" s="170"/>
      <c r="G152" s="171"/>
    </row>
    <row r="153" spans="2:7" ht="15.75" customHeight="1" x14ac:dyDescent="0.2">
      <c r="B153" s="145"/>
      <c r="C153" s="169"/>
      <c r="D153" s="170"/>
      <c r="E153" s="170"/>
      <c r="F153" s="170"/>
      <c r="G153" s="171"/>
    </row>
    <row r="154" spans="2:7" ht="15.75" customHeight="1" x14ac:dyDescent="0.2">
      <c r="B154" s="145"/>
      <c r="C154" s="169"/>
      <c r="D154" s="170"/>
      <c r="E154" s="170"/>
      <c r="F154" s="170"/>
      <c r="G154" s="171"/>
    </row>
    <row r="155" spans="2:7" ht="15.75" customHeight="1" x14ac:dyDescent="0.2">
      <c r="B155" s="145"/>
      <c r="C155" s="169"/>
      <c r="D155" s="170"/>
      <c r="E155" s="170"/>
      <c r="F155" s="170"/>
      <c r="G155" s="171"/>
    </row>
    <row r="156" spans="2:7" ht="15.75" customHeight="1" x14ac:dyDescent="0.2">
      <c r="B156" s="145"/>
      <c r="C156" s="169"/>
      <c r="D156" s="170"/>
      <c r="E156" s="170"/>
      <c r="F156" s="170"/>
      <c r="G156" s="171"/>
    </row>
    <row r="157" spans="2:7" ht="15.75" customHeight="1" x14ac:dyDescent="0.2">
      <c r="B157" s="145"/>
      <c r="C157" s="169"/>
      <c r="D157" s="170"/>
      <c r="E157" s="170"/>
      <c r="F157" s="170"/>
      <c r="G157" s="171"/>
    </row>
    <row r="158" spans="2:7" ht="15.75" customHeight="1" x14ac:dyDescent="0.2">
      <c r="B158" s="145"/>
      <c r="C158" s="169"/>
      <c r="D158" s="170"/>
      <c r="E158" s="170"/>
      <c r="F158" s="170"/>
      <c r="G158" s="171"/>
    </row>
    <row r="159" spans="2:7" ht="15.75" customHeight="1" x14ac:dyDescent="0.2">
      <c r="B159" s="145"/>
      <c r="C159" s="169"/>
      <c r="D159" s="170"/>
      <c r="E159" s="170"/>
      <c r="F159" s="170"/>
      <c r="G159" s="171"/>
    </row>
    <row r="160" spans="2:7" ht="15.75" customHeight="1" x14ac:dyDescent="0.2">
      <c r="B160" s="145"/>
      <c r="C160" s="169"/>
      <c r="D160" s="170"/>
      <c r="E160" s="170"/>
      <c r="F160" s="170"/>
      <c r="G160" s="171"/>
    </row>
    <row r="161" spans="2:7" ht="15.75" customHeight="1" x14ac:dyDescent="0.2">
      <c r="B161" s="145"/>
      <c r="C161" s="169"/>
      <c r="D161" s="170"/>
      <c r="E161" s="170"/>
      <c r="F161" s="170"/>
      <c r="G161" s="171"/>
    </row>
    <row r="162" spans="2:7" ht="15.75" customHeight="1" x14ac:dyDescent="0.2">
      <c r="B162" s="145"/>
      <c r="C162" s="169"/>
      <c r="D162" s="170"/>
      <c r="E162" s="170"/>
      <c r="F162" s="170"/>
      <c r="G162" s="171"/>
    </row>
    <row r="163" spans="2:7" ht="15.75" customHeight="1" x14ac:dyDescent="0.2">
      <c r="B163" s="145"/>
      <c r="C163" s="169"/>
      <c r="D163" s="170"/>
      <c r="E163" s="170"/>
      <c r="F163" s="170"/>
      <c r="G163" s="171"/>
    </row>
    <row r="164" spans="2:7" ht="15.75" customHeight="1" x14ac:dyDescent="0.2">
      <c r="B164" s="145"/>
      <c r="C164" s="169"/>
      <c r="D164" s="170"/>
      <c r="E164" s="170"/>
      <c r="F164" s="170"/>
      <c r="G164" s="171"/>
    </row>
    <row r="165" spans="2:7" ht="15.75" customHeight="1" x14ac:dyDescent="0.2">
      <c r="B165" s="145"/>
      <c r="C165" s="169"/>
      <c r="D165" s="170"/>
      <c r="E165" s="170"/>
      <c r="F165" s="170"/>
      <c r="G165" s="171"/>
    </row>
    <row r="166" spans="2:7" ht="15.75" customHeight="1" x14ac:dyDescent="0.2">
      <c r="B166" s="145"/>
      <c r="C166" s="169"/>
      <c r="D166" s="170"/>
      <c r="E166" s="170"/>
      <c r="F166" s="170"/>
      <c r="G166" s="171"/>
    </row>
    <row r="167" spans="2:7" ht="15.75" customHeight="1" x14ac:dyDescent="0.2">
      <c r="B167" s="145"/>
      <c r="C167" s="169"/>
      <c r="D167" s="170"/>
      <c r="E167" s="170"/>
      <c r="F167" s="170"/>
      <c r="G167" s="171"/>
    </row>
    <row r="168" spans="2:7" ht="15.75" customHeight="1" x14ac:dyDescent="0.2">
      <c r="B168" s="145"/>
      <c r="C168" s="169"/>
      <c r="D168" s="170"/>
      <c r="E168" s="170"/>
      <c r="F168" s="170"/>
      <c r="G168" s="171"/>
    </row>
    <row r="169" spans="2:7" ht="15.75" customHeight="1" x14ac:dyDescent="0.2">
      <c r="B169" s="145"/>
      <c r="C169" s="169"/>
      <c r="D169" s="170"/>
      <c r="E169" s="170"/>
      <c r="F169" s="170"/>
      <c r="G169" s="171"/>
    </row>
    <row r="170" spans="2:7" ht="15.75" customHeight="1" x14ac:dyDescent="0.2">
      <c r="B170" s="145"/>
      <c r="C170" s="169"/>
      <c r="D170" s="170"/>
      <c r="E170" s="170"/>
      <c r="F170" s="170"/>
      <c r="G170" s="171"/>
    </row>
    <row r="171" spans="2:7" ht="15.75" customHeight="1" x14ac:dyDescent="0.2">
      <c r="B171" s="145"/>
      <c r="C171" s="169"/>
      <c r="D171" s="170"/>
      <c r="E171" s="170"/>
      <c r="F171" s="170"/>
      <c r="G171" s="171"/>
    </row>
    <row r="172" spans="2:7" ht="15.75" customHeight="1" x14ac:dyDescent="0.2">
      <c r="B172" s="145"/>
      <c r="C172" s="169"/>
      <c r="D172" s="170"/>
      <c r="E172" s="170"/>
      <c r="F172" s="170"/>
      <c r="G172" s="171"/>
    </row>
    <row r="173" spans="2:7" ht="15.75" customHeight="1" x14ac:dyDescent="0.2">
      <c r="B173" s="145"/>
      <c r="C173" s="169"/>
      <c r="D173" s="170"/>
      <c r="E173" s="170"/>
      <c r="F173" s="170"/>
      <c r="G173" s="171"/>
    </row>
    <row r="174" spans="2:7" ht="15.75" customHeight="1" x14ac:dyDescent="0.2">
      <c r="B174" s="145"/>
      <c r="C174" s="169"/>
      <c r="D174" s="170"/>
      <c r="E174" s="170"/>
      <c r="F174" s="170"/>
      <c r="G174" s="171"/>
    </row>
    <row r="175" spans="2:7" ht="15.75" customHeight="1" x14ac:dyDescent="0.2">
      <c r="B175" s="145"/>
      <c r="C175" s="169"/>
      <c r="D175" s="170"/>
      <c r="E175" s="170"/>
      <c r="F175" s="170"/>
      <c r="G175" s="171"/>
    </row>
    <row r="176" spans="2:7" ht="15.75" customHeight="1" x14ac:dyDescent="0.2">
      <c r="B176" s="145"/>
      <c r="C176" s="169"/>
      <c r="D176" s="170"/>
      <c r="E176" s="170"/>
      <c r="F176" s="170"/>
      <c r="G176" s="171"/>
    </row>
    <row r="177" spans="2:7" ht="15.75" customHeight="1" x14ac:dyDescent="0.2">
      <c r="B177" s="145"/>
      <c r="C177" s="169"/>
      <c r="D177" s="170"/>
      <c r="E177" s="170"/>
      <c r="F177" s="170"/>
      <c r="G177" s="171"/>
    </row>
    <row r="178" spans="2:7" ht="15.75" customHeight="1" x14ac:dyDescent="0.2">
      <c r="B178" s="145"/>
      <c r="C178" s="169"/>
      <c r="D178" s="170"/>
      <c r="E178" s="170"/>
      <c r="F178" s="170"/>
      <c r="G178" s="171"/>
    </row>
    <row r="179" spans="2:7" ht="15.75" customHeight="1" x14ac:dyDescent="0.2">
      <c r="B179" s="145"/>
      <c r="C179" s="169"/>
      <c r="D179" s="170"/>
      <c r="E179" s="170"/>
      <c r="F179" s="170"/>
      <c r="G179" s="171"/>
    </row>
    <row r="180" spans="2:7" ht="15.75" customHeight="1" x14ac:dyDescent="0.2">
      <c r="B180" s="145"/>
      <c r="C180" s="169"/>
      <c r="D180" s="170"/>
      <c r="E180" s="170"/>
      <c r="F180" s="170"/>
      <c r="G180" s="171"/>
    </row>
    <row r="181" spans="2:7" ht="15.75" customHeight="1" x14ac:dyDescent="0.2">
      <c r="B181" s="145"/>
      <c r="C181" s="169"/>
      <c r="D181" s="170"/>
      <c r="E181" s="170"/>
      <c r="F181" s="170"/>
      <c r="G181" s="171"/>
    </row>
    <row r="182" spans="2:7" ht="15.75" customHeight="1" x14ac:dyDescent="0.2">
      <c r="B182" s="145"/>
      <c r="C182" s="169"/>
      <c r="D182" s="170"/>
      <c r="E182" s="170"/>
      <c r="F182" s="170"/>
      <c r="G182" s="171"/>
    </row>
    <row r="183" spans="2:7" ht="15.75" customHeight="1" x14ac:dyDescent="0.2">
      <c r="B183" s="145"/>
      <c r="C183" s="169"/>
      <c r="D183" s="170"/>
      <c r="E183" s="170"/>
      <c r="F183" s="170"/>
      <c r="G183" s="171"/>
    </row>
    <row r="184" spans="2:7" ht="15.75" customHeight="1" x14ac:dyDescent="0.2">
      <c r="B184" s="145"/>
      <c r="C184" s="169"/>
      <c r="D184" s="170"/>
      <c r="E184" s="170"/>
      <c r="F184" s="170"/>
      <c r="G184" s="171"/>
    </row>
    <row r="185" spans="2:7" ht="15.75" customHeight="1" x14ac:dyDescent="0.2">
      <c r="B185" s="145"/>
      <c r="C185" s="169"/>
      <c r="D185" s="170"/>
      <c r="E185" s="170"/>
      <c r="F185" s="170"/>
      <c r="G185" s="171"/>
    </row>
    <row r="186" spans="2:7" ht="15.75" customHeight="1" x14ac:dyDescent="0.2">
      <c r="B186" s="145"/>
      <c r="C186" s="169"/>
      <c r="D186" s="170"/>
      <c r="E186" s="170"/>
      <c r="F186" s="170"/>
      <c r="G186" s="171"/>
    </row>
    <row r="187" spans="2:7" ht="15.75" customHeight="1" x14ac:dyDescent="0.2">
      <c r="B187" s="145"/>
      <c r="C187" s="169"/>
      <c r="D187" s="170"/>
      <c r="E187" s="170"/>
      <c r="F187" s="170"/>
      <c r="G187" s="171"/>
    </row>
    <row r="188" spans="2:7" ht="15.75" customHeight="1" x14ac:dyDescent="0.2">
      <c r="B188" s="145"/>
      <c r="C188" s="169"/>
      <c r="D188" s="170"/>
      <c r="E188" s="170"/>
      <c r="F188" s="170"/>
      <c r="G188" s="171"/>
    </row>
    <row r="189" spans="2:7" ht="15.75" customHeight="1" x14ac:dyDescent="0.2">
      <c r="B189" s="145"/>
      <c r="C189" s="169"/>
      <c r="D189" s="170"/>
      <c r="E189" s="170"/>
      <c r="F189" s="170"/>
      <c r="G189" s="171"/>
    </row>
    <row r="190" spans="2:7" ht="15.75" customHeight="1" x14ac:dyDescent="0.2">
      <c r="B190" s="145"/>
      <c r="C190" s="169"/>
      <c r="D190" s="170"/>
      <c r="E190" s="170"/>
      <c r="F190" s="170"/>
      <c r="G190" s="171"/>
    </row>
    <row r="191" spans="2:7" ht="15.75" customHeight="1" x14ac:dyDescent="0.2">
      <c r="B191" s="145"/>
      <c r="C191" s="169"/>
      <c r="D191" s="170"/>
      <c r="E191" s="170"/>
      <c r="F191" s="170"/>
      <c r="G191" s="171"/>
    </row>
    <row r="192" spans="2:7" ht="15.75" customHeight="1" x14ac:dyDescent="0.2">
      <c r="B192" s="145"/>
      <c r="C192" s="169"/>
      <c r="D192" s="170"/>
      <c r="E192" s="170"/>
      <c r="F192" s="170"/>
      <c r="G192" s="171"/>
    </row>
    <row r="193" spans="2:7" ht="15.75" customHeight="1" x14ac:dyDescent="0.2">
      <c r="B193" s="145"/>
      <c r="C193" s="169"/>
      <c r="D193" s="170"/>
      <c r="E193" s="170"/>
      <c r="F193" s="170"/>
      <c r="G193" s="171"/>
    </row>
    <row r="194" spans="2:7" ht="15.75" customHeight="1" x14ac:dyDescent="0.2">
      <c r="B194" s="145"/>
      <c r="C194" s="169"/>
      <c r="D194" s="170"/>
      <c r="E194" s="170"/>
      <c r="F194" s="170"/>
      <c r="G194" s="171"/>
    </row>
    <row r="195" spans="2:7" ht="15.75" customHeight="1" x14ac:dyDescent="0.2">
      <c r="B195" s="145"/>
      <c r="C195" s="169"/>
      <c r="D195" s="170"/>
      <c r="E195" s="170"/>
      <c r="F195" s="170"/>
      <c r="G195" s="171"/>
    </row>
    <row r="196" spans="2:7" ht="15.75" customHeight="1" x14ac:dyDescent="0.2">
      <c r="B196" s="145"/>
      <c r="C196" s="169"/>
      <c r="D196" s="170"/>
      <c r="E196" s="170"/>
      <c r="F196" s="170"/>
      <c r="G196" s="171"/>
    </row>
    <row r="197" spans="2:7" ht="15.75" customHeight="1" x14ac:dyDescent="0.2">
      <c r="B197" s="145"/>
      <c r="C197" s="169"/>
      <c r="D197" s="170"/>
      <c r="E197" s="170"/>
      <c r="F197" s="170"/>
      <c r="G197" s="171"/>
    </row>
    <row r="198" spans="2:7" ht="15.75" customHeight="1" x14ac:dyDescent="0.2">
      <c r="B198" s="145"/>
      <c r="C198" s="169"/>
      <c r="D198" s="170"/>
      <c r="E198" s="170"/>
      <c r="F198" s="170"/>
      <c r="G198" s="171"/>
    </row>
    <row r="199" spans="2:7" ht="15.75" customHeight="1" x14ac:dyDescent="0.2">
      <c r="B199" s="145"/>
      <c r="C199" s="169"/>
      <c r="D199" s="170"/>
      <c r="E199" s="170"/>
      <c r="F199" s="170"/>
      <c r="G199" s="171"/>
    </row>
    <row r="200" spans="2:7" ht="15.75" customHeight="1" x14ac:dyDescent="0.2">
      <c r="B200" s="145"/>
      <c r="C200" s="169"/>
      <c r="D200" s="170"/>
      <c r="E200" s="170"/>
      <c r="F200" s="170"/>
      <c r="G200" s="171"/>
    </row>
    <row r="201" spans="2:7" ht="15.75" customHeight="1" x14ac:dyDescent="0.2">
      <c r="B201" s="145"/>
      <c r="C201" s="169"/>
      <c r="D201" s="170"/>
      <c r="E201" s="170"/>
      <c r="F201" s="170"/>
      <c r="G201" s="171"/>
    </row>
    <row r="202" spans="2:7" ht="15.75" customHeight="1" x14ac:dyDescent="0.2">
      <c r="B202" s="145"/>
      <c r="C202" s="169"/>
      <c r="D202" s="170"/>
      <c r="E202" s="170"/>
      <c r="F202" s="170"/>
      <c r="G202" s="171"/>
    </row>
    <row r="203" spans="2:7" ht="15.75" customHeight="1" x14ac:dyDescent="0.2">
      <c r="B203" s="145"/>
      <c r="C203" s="169"/>
      <c r="D203" s="170"/>
      <c r="E203" s="170"/>
      <c r="F203" s="170"/>
      <c r="G203" s="171"/>
    </row>
    <row r="204" spans="2:7" ht="15.75" customHeight="1" x14ac:dyDescent="0.2">
      <c r="B204" s="145"/>
      <c r="C204" s="169"/>
      <c r="D204" s="170"/>
      <c r="E204" s="170"/>
      <c r="F204" s="170"/>
      <c r="G204" s="171"/>
    </row>
    <row r="205" spans="2:7" ht="15.75" customHeight="1" x14ac:dyDescent="0.2">
      <c r="B205" s="145"/>
      <c r="C205" s="169"/>
      <c r="D205" s="170"/>
      <c r="E205" s="170"/>
      <c r="F205" s="170"/>
      <c r="G205" s="171"/>
    </row>
    <row r="206" spans="2:7" ht="15.75" customHeight="1" x14ac:dyDescent="0.2">
      <c r="B206" s="145"/>
      <c r="C206" s="169"/>
      <c r="D206" s="170"/>
      <c r="E206" s="170"/>
      <c r="F206" s="170"/>
      <c r="G206" s="171"/>
    </row>
    <row r="207" spans="2:7" ht="15.75" customHeight="1" x14ac:dyDescent="0.2">
      <c r="B207" s="145"/>
      <c r="C207" s="169"/>
      <c r="D207" s="170"/>
      <c r="E207" s="170"/>
      <c r="F207" s="170"/>
      <c r="G207" s="171"/>
    </row>
    <row r="208" spans="2:7" ht="15.75" customHeight="1" x14ac:dyDescent="0.2">
      <c r="B208" s="145"/>
      <c r="C208" s="169"/>
      <c r="D208" s="170"/>
      <c r="E208" s="170"/>
      <c r="F208" s="170"/>
      <c r="G208" s="171"/>
    </row>
    <row r="209" spans="2:7" ht="15.75" customHeight="1" x14ac:dyDescent="0.2">
      <c r="B209" s="145"/>
      <c r="C209" s="169"/>
      <c r="D209" s="170"/>
      <c r="E209" s="170"/>
      <c r="F209" s="170"/>
      <c r="G209" s="171"/>
    </row>
    <row r="210" spans="2:7" ht="15.75" customHeight="1" x14ac:dyDescent="0.2">
      <c r="B210" s="145"/>
      <c r="C210" s="169"/>
      <c r="D210" s="170"/>
      <c r="E210" s="170"/>
      <c r="F210" s="170"/>
      <c r="G210" s="171"/>
    </row>
    <row r="211" spans="2:7" ht="15.75" customHeight="1" x14ac:dyDescent="0.2">
      <c r="B211" s="145"/>
      <c r="C211" s="169"/>
      <c r="D211" s="170"/>
      <c r="E211" s="170"/>
      <c r="F211" s="170"/>
      <c r="G211" s="171"/>
    </row>
    <row r="212" spans="2:7" ht="15.75" customHeight="1" x14ac:dyDescent="0.2">
      <c r="B212" s="145"/>
      <c r="C212" s="169"/>
      <c r="D212" s="170"/>
      <c r="E212" s="170"/>
      <c r="F212" s="170"/>
      <c r="G212" s="171"/>
    </row>
    <row r="213" spans="2:7" ht="15.75" customHeight="1" x14ac:dyDescent="0.2">
      <c r="B213" s="145"/>
      <c r="C213" s="169"/>
      <c r="D213" s="170"/>
      <c r="E213" s="170"/>
      <c r="F213" s="170"/>
      <c r="G213" s="171"/>
    </row>
    <row r="214" spans="2:7" ht="15.75" customHeight="1" x14ac:dyDescent="0.2">
      <c r="B214" s="145"/>
      <c r="C214" s="169"/>
      <c r="D214" s="170"/>
      <c r="E214" s="170"/>
      <c r="F214" s="170"/>
      <c r="G214" s="171"/>
    </row>
    <row r="215" spans="2:7" ht="15.75" customHeight="1" x14ac:dyDescent="0.2">
      <c r="B215" s="145"/>
      <c r="C215" s="169"/>
      <c r="D215" s="170"/>
      <c r="E215" s="170"/>
      <c r="F215" s="170"/>
      <c r="G215" s="171"/>
    </row>
    <row r="216" spans="2:7" ht="15.75" customHeight="1" x14ac:dyDescent="0.2">
      <c r="B216" s="145"/>
      <c r="C216" s="169"/>
      <c r="D216" s="170"/>
      <c r="E216" s="170"/>
      <c r="F216" s="170"/>
      <c r="G216" s="171"/>
    </row>
    <row r="217" spans="2:7" ht="15.75" customHeight="1" x14ac:dyDescent="0.2">
      <c r="B217" s="145"/>
      <c r="C217" s="169"/>
      <c r="D217" s="170"/>
      <c r="E217" s="170"/>
      <c r="F217" s="170"/>
      <c r="G217" s="171"/>
    </row>
    <row r="218" spans="2:7" ht="15.75" customHeight="1" x14ac:dyDescent="0.2">
      <c r="B218" s="145"/>
      <c r="C218" s="169"/>
      <c r="D218" s="170"/>
      <c r="E218" s="170"/>
      <c r="F218" s="170"/>
      <c r="G218" s="171"/>
    </row>
    <row r="219" spans="2:7" ht="15.75" customHeight="1" x14ac:dyDescent="0.2">
      <c r="B219" s="145"/>
      <c r="C219" s="169"/>
      <c r="D219" s="170"/>
      <c r="E219" s="170"/>
      <c r="F219" s="170"/>
      <c r="G219" s="171"/>
    </row>
    <row r="220" spans="2:7" ht="15.75" customHeight="1" x14ac:dyDescent="0.2">
      <c r="B220" s="145"/>
      <c r="C220" s="169"/>
      <c r="D220" s="170"/>
      <c r="E220" s="170"/>
      <c r="F220" s="170"/>
      <c r="G220" s="171"/>
    </row>
    <row r="221" spans="2:7" ht="15.75" customHeight="1" x14ac:dyDescent="0.2">
      <c r="B221" s="145"/>
      <c r="C221" s="169"/>
      <c r="D221" s="170"/>
      <c r="E221" s="170"/>
      <c r="F221" s="170"/>
      <c r="G221" s="171"/>
    </row>
    <row r="222" spans="2:7" ht="15.75" customHeight="1" x14ac:dyDescent="0.2">
      <c r="B222" s="145"/>
      <c r="C222" s="169"/>
      <c r="D222" s="170"/>
      <c r="E222" s="170"/>
      <c r="F222" s="170"/>
      <c r="G222" s="171"/>
    </row>
    <row r="223" spans="2:7" ht="15.75" customHeight="1" x14ac:dyDescent="0.2">
      <c r="B223" s="145"/>
      <c r="C223" s="169"/>
      <c r="D223" s="170"/>
      <c r="E223" s="170"/>
      <c r="F223" s="170"/>
      <c r="G223" s="171"/>
    </row>
    <row r="224" spans="2:7" ht="15.75" customHeight="1" x14ac:dyDescent="0.2">
      <c r="B224" s="145"/>
      <c r="C224" s="169"/>
      <c r="D224" s="170"/>
      <c r="E224" s="170"/>
      <c r="F224" s="170"/>
      <c r="G224" s="171"/>
    </row>
    <row r="225" spans="2:7" ht="15.75" customHeight="1" x14ac:dyDescent="0.2">
      <c r="B225" s="145"/>
      <c r="C225" s="169"/>
      <c r="D225" s="170"/>
      <c r="E225" s="170"/>
      <c r="F225" s="170"/>
      <c r="G225" s="171"/>
    </row>
    <row r="226" spans="2:7" ht="15.75" customHeight="1" x14ac:dyDescent="0.2">
      <c r="B226" s="145"/>
      <c r="C226" s="169"/>
      <c r="D226" s="170"/>
      <c r="E226" s="170"/>
      <c r="F226" s="170"/>
      <c r="G226" s="171"/>
    </row>
    <row r="227" spans="2:7" ht="15.75" customHeight="1" x14ac:dyDescent="0.2">
      <c r="B227" s="145"/>
      <c r="C227" s="169"/>
      <c r="D227" s="170"/>
      <c r="E227" s="170"/>
      <c r="F227" s="170"/>
      <c r="G227" s="171"/>
    </row>
    <row r="228" spans="2:7" ht="15.75" customHeight="1" x14ac:dyDescent="0.2">
      <c r="B228" s="145"/>
      <c r="C228" s="169"/>
      <c r="D228" s="170"/>
      <c r="E228" s="170"/>
      <c r="F228" s="170"/>
      <c r="G228" s="171"/>
    </row>
    <row r="229" spans="2:7" ht="15.75" customHeight="1" x14ac:dyDescent="0.2">
      <c r="B229" s="145"/>
      <c r="C229" s="169"/>
      <c r="D229" s="170"/>
      <c r="E229" s="170"/>
      <c r="F229" s="170"/>
      <c r="G229" s="171"/>
    </row>
    <row r="230" spans="2:7" ht="15.75" customHeight="1" x14ac:dyDescent="0.2">
      <c r="B230" s="145"/>
      <c r="C230" s="169"/>
      <c r="D230" s="170"/>
      <c r="E230" s="170"/>
      <c r="F230" s="170"/>
      <c r="G230" s="171"/>
    </row>
    <row r="231" spans="2:7" ht="15.75" customHeight="1" x14ac:dyDescent="0.2">
      <c r="B231" s="145"/>
      <c r="C231" s="169"/>
      <c r="D231" s="170"/>
      <c r="E231" s="170"/>
      <c r="F231" s="170"/>
      <c r="G231" s="171"/>
    </row>
    <row r="232" spans="2:7" ht="15.75" customHeight="1" x14ac:dyDescent="0.2">
      <c r="B232" s="145"/>
      <c r="C232" s="169"/>
      <c r="D232" s="170"/>
      <c r="E232" s="170"/>
      <c r="F232" s="170"/>
      <c r="G232" s="171"/>
    </row>
    <row r="233" spans="2:7" ht="15.75" customHeight="1" x14ac:dyDescent="0.2">
      <c r="B233" s="145"/>
      <c r="C233" s="169"/>
      <c r="D233" s="170"/>
      <c r="E233" s="170"/>
      <c r="F233" s="170"/>
      <c r="G233" s="171"/>
    </row>
    <row r="234" spans="2:7" ht="15.75" customHeight="1" x14ac:dyDescent="0.2">
      <c r="B234" s="145"/>
      <c r="C234" s="169"/>
      <c r="D234" s="170"/>
      <c r="E234" s="170"/>
      <c r="F234" s="170"/>
      <c r="G234" s="171"/>
    </row>
    <row r="235" spans="2:7" ht="15.75" customHeight="1" x14ac:dyDescent="0.2">
      <c r="B235" s="145"/>
      <c r="C235" s="169"/>
      <c r="D235" s="170"/>
      <c r="E235" s="170"/>
      <c r="F235" s="170"/>
      <c r="G235" s="171"/>
    </row>
    <row r="236" spans="2:7" ht="15.75" customHeight="1" x14ac:dyDescent="0.2">
      <c r="B236" s="145"/>
      <c r="C236" s="169"/>
      <c r="D236" s="170"/>
      <c r="E236" s="170"/>
      <c r="F236" s="170"/>
      <c r="G236" s="171"/>
    </row>
    <row r="237" spans="2:7" ht="15.75" customHeight="1" x14ac:dyDescent="0.2">
      <c r="B237" s="145"/>
      <c r="C237" s="169"/>
      <c r="D237" s="170"/>
      <c r="E237" s="170"/>
      <c r="F237" s="170"/>
      <c r="G237" s="171"/>
    </row>
    <row r="238" spans="2:7" ht="15.75" customHeight="1" x14ac:dyDescent="0.2">
      <c r="B238" s="145"/>
      <c r="C238" s="169"/>
      <c r="D238" s="170"/>
      <c r="E238" s="170"/>
      <c r="F238" s="170"/>
      <c r="G238" s="171"/>
    </row>
    <row r="239" spans="2:7" ht="15.75" customHeight="1" x14ac:dyDescent="0.2">
      <c r="B239" s="145"/>
      <c r="C239" s="169"/>
      <c r="D239" s="170"/>
      <c r="E239" s="170"/>
      <c r="F239" s="170"/>
      <c r="G239" s="171"/>
    </row>
    <row r="240" spans="2:7" ht="15.75" customHeight="1" x14ac:dyDescent="0.2">
      <c r="B240" s="145"/>
      <c r="C240" s="169"/>
      <c r="D240" s="170"/>
      <c r="E240" s="170"/>
      <c r="F240" s="170"/>
      <c r="G240" s="171"/>
    </row>
    <row r="241" spans="2:7" ht="15.75" customHeight="1" x14ac:dyDescent="0.2">
      <c r="B241" s="145"/>
      <c r="C241" s="169"/>
      <c r="D241" s="170"/>
      <c r="E241" s="170"/>
      <c r="F241" s="170"/>
      <c r="G241" s="171"/>
    </row>
    <row r="242" spans="2:7" ht="15.75" customHeight="1" x14ac:dyDescent="0.2">
      <c r="B242" s="145"/>
      <c r="C242" s="169"/>
      <c r="D242" s="170"/>
      <c r="E242" s="170"/>
      <c r="F242" s="170"/>
      <c r="G242" s="171"/>
    </row>
    <row r="243" spans="2:7" ht="15.75" customHeight="1" x14ac:dyDescent="0.2">
      <c r="B243" s="145"/>
      <c r="C243" s="169"/>
      <c r="D243" s="170"/>
      <c r="E243" s="170"/>
      <c r="F243" s="170"/>
      <c r="G243" s="171"/>
    </row>
    <row r="244" spans="2:7" ht="15.75" customHeight="1" x14ac:dyDescent="0.2">
      <c r="B244" s="145"/>
      <c r="C244" s="169"/>
      <c r="D244" s="170"/>
      <c r="E244" s="170"/>
      <c r="F244" s="170"/>
      <c r="G244" s="171"/>
    </row>
    <row r="245" spans="2:7" ht="15.75" customHeight="1" x14ac:dyDescent="0.2">
      <c r="B245" s="145"/>
      <c r="C245" s="169"/>
      <c r="D245" s="170"/>
      <c r="E245" s="170"/>
      <c r="F245" s="170"/>
      <c r="G245" s="171"/>
    </row>
    <row r="246" spans="2:7" ht="15.75" customHeight="1" x14ac:dyDescent="0.2">
      <c r="B246" s="145"/>
      <c r="C246" s="169"/>
      <c r="D246" s="170"/>
      <c r="E246" s="170"/>
      <c r="F246" s="170"/>
      <c r="G246" s="171"/>
    </row>
    <row r="247" spans="2:7" ht="15.75" customHeight="1" x14ac:dyDescent="0.2">
      <c r="B247" s="145"/>
      <c r="C247" s="169"/>
      <c r="D247" s="170"/>
      <c r="E247" s="170"/>
      <c r="F247" s="170"/>
      <c r="G247" s="171"/>
    </row>
    <row r="248" spans="2:7" ht="15.75" customHeight="1" x14ac:dyDescent="0.2">
      <c r="B248" s="145"/>
      <c r="C248" s="169"/>
      <c r="D248" s="170"/>
      <c r="E248" s="170"/>
      <c r="F248" s="170"/>
      <c r="G248" s="171"/>
    </row>
    <row r="249" spans="2:7" ht="15.75" customHeight="1" x14ac:dyDescent="0.2">
      <c r="B249" s="145"/>
      <c r="C249" s="169"/>
      <c r="D249" s="170"/>
      <c r="E249" s="170"/>
      <c r="F249" s="170"/>
      <c r="G249" s="171"/>
    </row>
    <row r="250" spans="2:7" ht="15.75" customHeight="1" x14ac:dyDescent="0.2">
      <c r="B250" s="145"/>
      <c r="C250" s="169"/>
      <c r="D250" s="170"/>
      <c r="E250" s="170"/>
      <c r="F250" s="170"/>
      <c r="G250" s="171"/>
    </row>
    <row r="251" spans="2:7" ht="15.75" customHeight="1" x14ac:dyDescent="0.2">
      <c r="B251" s="145"/>
      <c r="C251" s="169"/>
      <c r="D251" s="170"/>
      <c r="E251" s="170"/>
      <c r="F251" s="170"/>
      <c r="G251" s="171"/>
    </row>
    <row r="252" spans="2:7" ht="15.75" customHeight="1" x14ac:dyDescent="0.2">
      <c r="B252" s="145"/>
      <c r="C252" s="169"/>
      <c r="D252" s="170"/>
      <c r="E252" s="170"/>
      <c r="F252" s="170"/>
      <c r="G252" s="171"/>
    </row>
    <row r="253" spans="2:7" ht="15.75" customHeight="1" x14ac:dyDescent="0.2">
      <c r="B253" s="145"/>
      <c r="C253" s="169"/>
      <c r="D253" s="170"/>
      <c r="E253" s="170"/>
      <c r="F253" s="170"/>
      <c r="G253" s="171"/>
    </row>
    <row r="254" spans="2:7" ht="15.75" customHeight="1" x14ac:dyDescent="0.2">
      <c r="B254" s="145"/>
      <c r="C254" s="169"/>
      <c r="D254" s="170"/>
      <c r="E254" s="170"/>
      <c r="F254" s="170"/>
      <c r="G254" s="171"/>
    </row>
    <row r="255" spans="2:7" ht="15.75" customHeight="1" x14ac:dyDescent="0.2">
      <c r="B255" s="145"/>
      <c r="C255" s="169"/>
      <c r="D255" s="170"/>
      <c r="E255" s="170"/>
      <c r="F255" s="170"/>
      <c r="G255" s="171"/>
    </row>
    <row r="256" spans="2:7" ht="15.75" customHeight="1" x14ac:dyDescent="0.2">
      <c r="B256" s="145"/>
      <c r="C256" s="169"/>
      <c r="D256" s="170"/>
      <c r="E256" s="170"/>
      <c r="F256" s="170"/>
      <c r="G256" s="171"/>
    </row>
    <row r="257" spans="2:7" ht="15.75" customHeight="1" x14ac:dyDescent="0.2">
      <c r="B257" s="145"/>
      <c r="C257" s="169"/>
      <c r="D257" s="170"/>
      <c r="E257" s="170"/>
      <c r="F257" s="170"/>
      <c r="G257" s="171"/>
    </row>
    <row r="258" spans="2:7" ht="15.75" customHeight="1" x14ac:dyDescent="0.2">
      <c r="B258" s="145"/>
      <c r="C258" s="169"/>
      <c r="D258" s="170"/>
      <c r="E258" s="170"/>
      <c r="F258" s="170"/>
      <c r="G258" s="171"/>
    </row>
    <row r="259" spans="2:7" ht="15.75" customHeight="1" x14ac:dyDescent="0.2">
      <c r="B259" s="145"/>
      <c r="C259" s="169"/>
      <c r="D259" s="170"/>
      <c r="E259" s="170"/>
      <c r="F259" s="170"/>
      <c r="G259" s="171"/>
    </row>
    <row r="260" spans="2:7" ht="15.75" customHeight="1" x14ac:dyDescent="0.2">
      <c r="B260" s="145"/>
      <c r="C260" s="169"/>
      <c r="D260" s="170"/>
      <c r="E260" s="170"/>
      <c r="F260" s="170"/>
      <c r="G260" s="171"/>
    </row>
    <row r="261" spans="2:7" ht="15.75" customHeight="1" x14ac:dyDescent="0.2">
      <c r="B261" s="145"/>
      <c r="C261" s="169"/>
      <c r="D261" s="170"/>
      <c r="E261" s="170"/>
      <c r="F261" s="170"/>
      <c r="G261" s="171"/>
    </row>
    <row r="262" spans="2:7" ht="15.75" customHeight="1" x14ac:dyDescent="0.2">
      <c r="B262" s="145"/>
      <c r="C262" s="169"/>
      <c r="D262" s="170"/>
      <c r="E262" s="170"/>
      <c r="F262" s="170"/>
      <c r="G262" s="171"/>
    </row>
    <row r="263" spans="2:7" ht="15.75" customHeight="1" x14ac:dyDescent="0.2">
      <c r="B263" s="145"/>
      <c r="C263" s="169"/>
      <c r="D263" s="170"/>
      <c r="E263" s="170"/>
      <c r="F263" s="170"/>
      <c r="G263" s="171"/>
    </row>
    <row r="264" spans="2:7" ht="15.75" customHeight="1" x14ac:dyDescent="0.2">
      <c r="B264" s="145"/>
      <c r="C264" s="169"/>
      <c r="D264" s="170"/>
      <c r="E264" s="170"/>
      <c r="F264" s="170"/>
      <c r="G264" s="171"/>
    </row>
    <row r="265" spans="2:7" ht="15.75" customHeight="1" x14ac:dyDescent="0.2">
      <c r="B265" s="145"/>
      <c r="C265" s="169"/>
      <c r="D265" s="170"/>
      <c r="E265" s="170"/>
      <c r="F265" s="170"/>
      <c r="G265" s="171"/>
    </row>
    <row r="266" spans="2:7" ht="15.75" customHeight="1" x14ac:dyDescent="0.2">
      <c r="B266" s="145"/>
      <c r="C266" s="169"/>
      <c r="D266" s="170"/>
      <c r="E266" s="170"/>
      <c r="F266" s="170"/>
      <c r="G266" s="171"/>
    </row>
    <row r="267" spans="2:7" ht="15.75" customHeight="1" x14ac:dyDescent="0.2">
      <c r="B267" s="145"/>
      <c r="C267" s="169"/>
      <c r="D267" s="170"/>
      <c r="E267" s="170"/>
      <c r="F267" s="170"/>
      <c r="G267" s="171"/>
    </row>
    <row r="268" spans="2:7" ht="15.75" customHeight="1" x14ac:dyDescent="0.2">
      <c r="B268" s="145"/>
      <c r="C268" s="169"/>
      <c r="D268" s="170"/>
      <c r="E268" s="170"/>
      <c r="F268" s="170"/>
      <c r="G268" s="171"/>
    </row>
    <row r="269" spans="2:7" ht="15.75" customHeight="1" x14ac:dyDescent="0.2">
      <c r="B269" s="145"/>
      <c r="C269" s="169"/>
      <c r="D269" s="170"/>
      <c r="E269" s="170"/>
      <c r="F269" s="170"/>
      <c r="G269" s="171"/>
    </row>
    <row r="270" spans="2:7" ht="15.75" customHeight="1" x14ac:dyDescent="0.2">
      <c r="B270" s="145"/>
      <c r="C270" s="169"/>
      <c r="D270" s="170"/>
      <c r="E270" s="170"/>
      <c r="F270" s="170"/>
      <c r="G270" s="171"/>
    </row>
    <row r="271" spans="2:7" ht="15.75" customHeight="1" x14ac:dyDescent="0.2">
      <c r="B271" s="145"/>
      <c r="C271" s="169"/>
      <c r="D271" s="170"/>
      <c r="E271" s="170"/>
      <c r="F271" s="170"/>
      <c r="G271" s="171"/>
    </row>
    <row r="272" spans="2:7" ht="15.75" customHeight="1" x14ac:dyDescent="0.2">
      <c r="B272" s="145"/>
      <c r="C272" s="169"/>
      <c r="D272" s="170"/>
      <c r="E272" s="170"/>
      <c r="F272" s="170"/>
      <c r="G272" s="171"/>
    </row>
    <row r="273" spans="2:7" ht="15.75" customHeight="1" x14ac:dyDescent="0.2">
      <c r="B273" s="145"/>
      <c r="C273" s="169"/>
      <c r="D273" s="170"/>
      <c r="E273" s="170"/>
      <c r="F273" s="170"/>
      <c r="G273" s="171"/>
    </row>
    <row r="274" spans="2:7" ht="15.75" customHeight="1" x14ac:dyDescent="0.2">
      <c r="B274" s="145"/>
      <c r="C274" s="169"/>
      <c r="D274" s="170"/>
      <c r="E274" s="170"/>
      <c r="F274" s="170"/>
      <c r="G274" s="171"/>
    </row>
    <row r="275" spans="2:7" ht="15.75" customHeight="1" x14ac:dyDescent="0.2">
      <c r="B275" s="145"/>
      <c r="C275" s="169"/>
      <c r="D275" s="170"/>
      <c r="E275" s="170"/>
      <c r="F275" s="170"/>
      <c r="G275" s="171"/>
    </row>
    <row r="276" spans="2:7" ht="15.75" customHeight="1" x14ac:dyDescent="0.2">
      <c r="B276" s="145"/>
      <c r="C276" s="169"/>
      <c r="D276" s="170"/>
      <c r="E276" s="170"/>
      <c r="F276" s="170"/>
      <c r="G276" s="171"/>
    </row>
    <row r="277" spans="2:7" ht="15.75" customHeight="1" x14ac:dyDescent="0.2">
      <c r="B277" s="145"/>
      <c r="C277" s="169"/>
      <c r="D277" s="170"/>
      <c r="E277" s="170"/>
      <c r="F277" s="170"/>
      <c r="G277" s="171"/>
    </row>
    <row r="278" spans="2:7" ht="15.75" customHeight="1" x14ac:dyDescent="0.2">
      <c r="B278" s="145"/>
      <c r="C278" s="169"/>
      <c r="D278" s="170"/>
      <c r="E278" s="170"/>
      <c r="F278" s="170"/>
      <c r="G278" s="171"/>
    </row>
    <row r="279" spans="2:7" ht="15.75" customHeight="1" x14ac:dyDescent="0.2">
      <c r="B279" s="145"/>
      <c r="C279" s="169"/>
      <c r="D279" s="170"/>
      <c r="E279" s="170"/>
      <c r="F279" s="170"/>
      <c r="G279" s="171"/>
    </row>
    <row r="280" spans="2:7" ht="15.75" customHeight="1" x14ac:dyDescent="0.2">
      <c r="B280" s="145"/>
      <c r="C280" s="169"/>
      <c r="D280" s="170"/>
      <c r="E280" s="170"/>
      <c r="F280" s="170"/>
      <c r="G280" s="171"/>
    </row>
    <row r="281" spans="2:7" ht="15.75" customHeight="1" x14ac:dyDescent="0.2">
      <c r="B281" s="145"/>
      <c r="C281" s="169"/>
      <c r="D281" s="170"/>
      <c r="E281" s="170"/>
      <c r="F281" s="170"/>
      <c r="G281" s="171"/>
    </row>
    <row r="282" spans="2:7" ht="15.75" customHeight="1" x14ac:dyDescent="0.2">
      <c r="B282" s="145"/>
      <c r="C282" s="169"/>
      <c r="D282" s="170"/>
      <c r="E282" s="170"/>
      <c r="F282" s="170"/>
      <c r="G282" s="171"/>
    </row>
    <row r="283" spans="2:7" ht="15.75" customHeight="1" x14ac:dyDescent="0.2">
      <c r="B283" s="145"/>
      <c r="C283" s="169"/>
      <c r="D283" s="170"/>
      <c r="E283" s="170"/>
      <c r="F283" s="170"/>
      <c r="G283" s="171"/>
    </row>
    <row r="284" spans="2:7" ht="15.75" customHeight="1" x14ac:dyDescent="0.2">
      <c r="B284" s="145"/>
      <c r="C284" s="169"/>
      <c r="D284" s="170"/>
      <c r="E284" s="170"/>
      <c r="F284" s="170"/>
      <c r="G284" s="171"/>
    </row>
    <row r="285" spans="2:7" ht="15.75" customHeight="1" x14ac:dyDescent="0.2">
      <c r="B285" s="145"/>
      <c r="C285" s="169"/>
      <c r="D285" s="170"/>
      <c r="E285" s="170"/>
      <c r="F285" s="170"/>
      <c r="G285" s="171"/>
    </row>
    <row r="286" spans="2:7" ht="15.75" customHeight="1" x14ac:dyDescent="0.2">
      <c r="B286" s="145"/>
      <c r="C286" s="169"/>
      <c r="D286" s="170"/>
      <c r="E286" s="170"/>
      <c r="F286" s="170"/>
      <c r="G286" s="171"/>
    </row>
    <row r="287" spans="2:7" ht="15.75" customHeight="1" x14ac:dyDescent="0.2">
      <c r="B287" s="145"/>
      <c r="C287" s="169"/>
      <c r="D287" s="170"/>
      <c r="E287" s="170"/>
      <c r="F287" s="170"/>
      <c r="G287" s="171"/>
    </row>
    <row r="288" spans="2:7" ht="15.75" customHeight="1" x14ac:dyDescent="0.2">
      <c r="B288" s="145"/>
      <c r="C288" s="169"/>
      <c r="D288" s="170"/>
      <c r="E288" s="170"/>
      <c r="F288" s="170"/>
      <c r="G288" s="171"/>
    </row>
    <row r="289" spans="2:7" ht="15.75" customHeight="1" x14ac:dyDescent="0.2">
      <c r="B289" s="145"/>
      <c r="C289" s="169"/>
      <c r="D289" s="170"/>
      <c r="E289" s="170"/>
      <c r="F289" s="170"/>
      <c r="G289" s="171"/>
    </row>
    <row r="290" spans="2:7" ht="15.75" customHeight="1" x14ac:dyDescent="0.2">
      <c r="B290" s="145"/>
      <c r="C290" s="169"/>
      <c r="D290" s="170"/>
      <c r="E290" s="170"/>
      <c r="F290" s="170"/>
      <c r="G290" s="171"/>
    </row>
    <row r="291" spans="2:7" ht="15.75" customHeight="1" x14ac:dyDescent="0.2">
      <c r="B291" s="145"/>
      <c r="C291" s="169"/>
      <c r="D291" s="170"/>
      <c r="E291" s="170"/>
      <c r="F291" s="170"/>
      <c r="G291" s="171"/>
    </row>
    <row r="292" spans="2:7" ht="15.75" customHeight="1" x14ac:dyDescent="0.2">
      <c r="B292" s="145"/>
      <c r="C292" s="169"/>
      <c r="D292" s="170"/>
      <c r="E292" s="170"/>
      <c r="F292" s="170"/>
      <c r="G292" s="171"/>
    </row>
    <row r="293" spans="2:7" ht="15.75" customHeight="1" x14ac:dyDescent="0.2">
      <c r="B293" s="145"/>
      <c r="C293" s="169"/>
      <c r="D293" s="170"/>
      <c r="E293" s="170"/>
      <c r="F293" s="170"/>
      <c r="G293" s="171"/>
    </row>
    <row r="294" spans="2:7" ht="15.75" customHeight="1" x14ac:dyDescent="0.2">
      <c r="B294" s="145"/>
      <c r="C294" s="169"/>
      <c r="D294" s="170"/>
      <c r="E294" s="170"/>
      <c r="F294" s="170"/>
      <c r="G294" s="171"/>
    </row>
    <row r="295" spans="2:7" ht="15.75" customHeight="1" x14ac:dyDescent="0.2">
      <c r="B295" s="145"/>
      <c r="C295" s="169"/>
      <c r="D295" s="170"/>
      <c r="E295" s="170"/>
      <c r="F295" s="170"/>
      <c r="G295" s="171"/>
    </row>
    <row r="296" spans="2:7" ht="15.75" customHeight="1" x14ac:dyDescent="0.2">
      <c r="B296" s="145"/>
      <c r="C296" s="169"/>
      <c r="D296" s="170"/>
      <c r="E296" s="170"/>
      <c r="F296" s="170"/>
      <c r="G296" s="171"/>
    </row>
    <row r="297" spans="2:7" ht="15.75" customHeight="1" x14ac:dyDescent="0.2">
      <c r="B297" s="145"/>
      <c r="C297" s="169"/>
      <c r="D297" s="170"/>
      <c r="E297" s="170"/>
      <c r="F297" s="170"/>
      <c r="G297" s="171"/>
    </row>
    <row r="298" spans="2:7" ht="15.75" customHeight="1" x14ac:dyDescent="0.2">
      <c r="B298" s="145"/>
      <c r="C298" s="169"/>
      <c r="D298" s="170"/>
      <c r="E298" s="170"/>
      <c r="F298" s="170"/>
      <c r="G298" s="171"/>
    </row>
    <row r="299" spans="2:7" ht="15.75" customHeight="1" x14ac:dyDescent="0.2">
      <c r="B299" s="145"/>
      <c r="C299" s="169"/>
      <c r="D299" s="170"/>
      <c r="E299" s="170"/>
      <c r="F299" s="170"/>
      <c r="G299" s="171"/>
    </row>
    <row r="300" spans="2:7" ht="15.75" customHeight="1" x14ac:dyDescent="0.2">
      <c r="B300" s="145"/>
      <c r="C300" s="169"/>
      <c r="D300" s="170"/>
      <c r="E300" s="170"/>
      <c r="F300" s="170"/>
      <c r="G300" s="171"/>
    </row>
    <row r="301" spans="2:7" ht="15.75" customHeight="1" x14ac:dyDescent="0.2">
      <c r="B301" s="145"/>
      <c r="C301" s="169"/>
      <c r="D301" s="170"/>
      <c r="E301" s="170"/>
      <c r="F301" s="170"/>
      <c r="G301" s="171"/>
    </row>
    <row r="302" spans="2:7" ht="15.75" customHeight="1" x14ac:dyDescent="0.2">
      <c r="B302" s="145"/>
      <c r="C302" s="169"/>
      <c r="D302" s="170"/>
      <c r="E302" s="170"/>
      <c r="F302" s="170"/>
      <c r="G302" s="171"/>
    </row>
    <row r="303" spans="2:7" ht="15.75" customHeight="1" x14ac:dyDescent="0.2">
      <c r="B303" s="145"/>
      <c r="C303" s="169"/>
      <c r="D303" s="170"/>
      <c r="E303" s="170"/>
      <c r="F303" s="170"/>
      <c r="G303" s="171"/>
    </row>
    <row r="304" spans="2:7" ht="15.75" customHeight="1" thickBot="1" x14ac:dyDescent="0.25">
      <c r="B304" s="146"/>
      <c r="C304" s="172"/>
      <c r="D304" s="173"/>
      <c r="E304" s="173"/>
      <c r="F304" s="173"/>
      <c r="G304" s="174"/>
    </row>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sheetData>
  <autoFilter ref="B3:G106" xr:uid="{00000000-0009-0000-0000-000000000000}">
    <sortState xmlns:xlrd2="http://schemas.microsoft.com/office/spreadsheetml/2017/richdata2" ref="B3:G75">
      <sortCondition ref="B3:B75"/>
    </sortState>
  </autoFilter>
  <mergeCells count="1">
    <mergeCell ref="B2:G2"/>
  </mergeCell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D7C2F"/>
    <outlinePr summaryBelow="0" summaryRight="0"/>
  </sheetPr>
  <dimension ref="A1:Q1001"/>
  <sheetViews>
    <sheetView showGridLines="0" zoomScale="90" zoomScaleNormal="90" workbookViewId="0">
      <pane ySplit="6" topLeftCell="A7" activePane="bottomLeft" state="frozen"/>
      <selection pane="bottomLeft" activeCell="P31" sqref="P31"/>
    </sheetView>
  </sheetViews>
  <sheetFormatPr defaultColWidth="12.5703125" defaultRowHeight="15" customHeight="1" x14ac:dyDescent="0.25"/>
  <cols>
    <col min="1" max="1" width="14.7109375" style="31" customWidth="1"/>
    <col min="2" max="2" width="33.85546875" style="31" customWidth="1"/>
    <col min="3" max="3" width="14" style="31" hidden="1" customWidth="1"/>
    <col min="4" max="4" width="7.28515625" style="31" customWidth="1"/>
    <col min="5" max="8" width="8.85546875" style="31" customWidth="1"/>
    <col min="9" max="9" width="5.85546875" style="31" customWidth="1"/>
    <col min="10" max="21" width="12.7109375" style="31" customWidth="1"/>
    <col min="22" max="26" width="14.42578125" style="31" customWidth="1"/>
    <col min="27" max="16384" width="12.5703125" style="31"/>
  </cols>
  <sheetData>
    <row r="1" spans="1:17" ht="15" customHeight="1" thickBot="1" x14ac:dyDescent="0.3"/>
    <row r="2" spans="1:17" ht="15.75" customHeight="1" x14ac:dyDescent="0.25">
      <c r="A2" s="85"/>
      <c r="B2" s="101"/>
      <c r="C2" s="98" t="s">
        <v>116</v>
      </c>
      <c r="D2" s="89"/>
      <c r="E2" s="90" t="s">
        <v>3</v>
      </c>
      <c r="F2" s="91" t="s">
        <v>4</v>
      </c>
      <c r="G2" s="92" t="s">
        <v>5</v>
      </c>
      <c r="H2" s="93" t="s">
        <v>6</v>
      </c>
      <c r="L2" s="35"/>
      <c r="M2" s="32"/>
      <c r="N2" s="32"/>
      <c r="O2" s="35"/>
      <c r="P2" s="36"/>
      <c r="Q2" s="36"/>
    </row>
    <row r="3" spans="1:17" ht="15.75" customHeight="1" x14ac:dyDescent="0.25">
      <c r="A3" s="86"/>
      <c r="B3" s="102" t="s">
        <v>117</v>
      </c>
      <c r="C3" s="99"/>
      <c r="D3" s="37" t="s">
        <v>118</v>
      </c>
      <c r="E3" s="38">
        <f>SUM(E11:E156)</f>
        <v>148.69999999999999</v>
      </c>
      <c r="F3" s="39">
        <f t="shared" ref="F3:G3" si="0">SUM(F11:F156)</f>
        <v>125.2</v>
      </c>
      <c r="G3" s="94">
        <f t="shared" si="0"/>
        <v>75</v>
      </c>
      <c r="H3" s="175">
        <f>SUM(H11:H1033)</f>
        <v>1902.8</v>
      </c>
      <c r="I3" s="196" t="s">
        <v>119</v>
      </c>
      <c r="J3" s="198" t="s">
        <v>120</v>
      </c>
      <c r="K3" s="197"/>
      <c r="L3" s="35"/>
      <c r="M3" s="32"/>
      <c r="N3" s="32"/>
      <c r="O3" s="35"/>
      <c r="P3" s="36"/>
      <c r="Q3" s="36"/>
    </row>
    <row r="4" spans="1:17" ht="15.75" customHeight="1" x14ac:dyDescent="0.25">
      <c r="A4" s="86"/>
      <c r="B4" s="102" t="s">
        <v>121</v>
      </c>
      <c r="C4" s="99"/>
      <c r="D4" s="37"/>
      <c r="E4" s="38">
        <f>E3*4</f>
        <v>594.79999999999995</v>
      </c>
      <c r="F4" s="39">
        <f t="shared" ref="F4" si="1">F3*4</f>
        <v>500.8</v>
      </c>
      <c r="G4" s="94">
        <f>G3*9</f>
        <v>675</v>
      </c>
      <c r="H4" s="120"/>
      <c r="I4" s="197"/>
      <c r="J4" s="197"/>
      <c r="K4" s="197"/>
      <c r="L4" s="35"/>
      <c r="M4" s="32"/>
      <c r="N4" s="32"/>
      <c r="O4" s="35"/>
      <c r="P4" s="36"/>
      <c r="Q4" s="36"/>
    </row>
    <row r="5" spans="1:17" ht="15.75" customHeight="1" x14ac:dyDescent="0.25">
      <c r="A5" s="86"/>
      <c r="B5" s="102" t="s">
        <v>122</v>
      </c>
      <c r="C5" s="99"/>
      <c r="D5" s="37"/>
      <c r="E5" s="38">
        <v>30</v>
      </c>
      <c r="F5" s="39">
        <v>60</v>
      </c>
      <c r="G5" s="94">
        <v>10</v>
      </c>
      <c r="H5" s="120">
        <f>SUM(E5:G5)</f>
        <v>100</v>
      </c>
      <c r="I5" s="40" t="s">
        <v>119</v>
      </c>
      <c r="J5" s="41" t="s">
        <v>123</v>
      </c>
      <c r="L5" s="35"/>
      <c r="M5" s="32"/>
      <c r="N5" s="32"/>
      <c r="O5" s="35"/>
      <c r="P5" s="36"/>
      <c r="Q5" s="36"/>
    </row>
    <row r="6" spans="1:17" ht="15.75" customHeight="1" thickBot="1" x14ac:dyDescent="0.3">
      <c r="A6" s="86"/>
      <c r="B6" s="103" t="s">
        <v>124</v>
      </c>
      <c r="C6" s="100"/>
      <c r="D6" s="42" t="s">
        <v>118</v>
      </c>
      <c r="E6" s="43">
        <f>(H6*E5)/400</f>
        <v>187.5</v>
      </c>
      <c r="F6" s="44">
        <f>(H6*F5)/400</f>
        <v>375</v>
      </c>
      <c r="G6" s="95">
        <f>(H6*G5)/900</f>
        <v>27.777777777777779</v>
      </c>
      <c r="H6" s="120">
        <v>2500</v>
      </c>
      <c r="I6" s="40" t="s">
        <v>119</v>
      </c>
      <c r="J6" s="41" t="s">
        <v>125</v>
      </c>
      <c r="L6" s="35"/>
      <c r="M6" s="32"/>
      <c r="N6" s="32"/>
      <c r="O6" s="35"/>
      <c r="P6" s="36"/>
      <c r="Q6" s="36"/>
    </row>
    <row r="7" spans="1:17" ht="15.75" customHeight="1" thickBot="1" x14ac:dyDescent="0.3">
      <c r="A7" s="199" t="s">
        <v>126</v>
      </c>
      <c r="B7" s="104" t="s">
        <v>127</v>
      </c>
      <c r="C7" s="96"/>
      <c r="D7" s="96"/>
      <c r="E7" s="202" t="s">
        <v>128</v>
      </c>
      <c r="F7" s="203"/>
      <c r="G7" s="203"/>
      <c r="H7" s="97">
        <v>1616</v>
      </c>
      <c r="I7" s="40" t="s">
        <v>119</v>
      </c>
      <c r="J7" s="41" t="s">
        <v>129</v>
      </c>
      <c r="L7" s="35"/>
      <c r="M7" s="32"/>
      <c r="N7" s="32"/>
      <c r="O7" s="35"/>
      <c r="P7" s="36"/>
      <c r="Q7" s="36"/>
    </row>
    <row r="8" spans="1:17" ht="15.75" customHeight="1" x14ac:dyDescent="0.25">
      <c r="A8" s="200"/>
      <c r="B8" s="105" t="s">
        <v>130</v>
      </c>
      <c r="C8" s="87"/>
      <c r="D8" s="87"/>
      <c r="E8" s="204"/>
      <c r="F8" s="205"/>
      <c r="G8" s="206"/>
      <c r="H8" s="45"/>
      <c r="I8" s="46"/>
      <c r="K8" s="34"/>
      <c r="L8" s="47"/>
      <c r="M8" s="32"/>
      <c r="N8" s="32"/>
      <c r="O8" s="35"/>
      <c r="P8" s="36"/>
      <c r="Q8" s="36"/>
    </row>
    <row r="9" spans="1:17" ht="15.75" customHeight="1" thickBot="1" x14ac:dyDescent="0.3">
      <c r="A9" s="201"/>
      <c r="B9" s="124" t="s">
        <v>131</v>
      </c>
      <c r="C9" s="87"/>
      <c r="D9" s="87"/>
      <c r="E9" s="207"/>
      <c r="F9" s="208"/>
      <c r="G9" s="209"/>
      <c r="H9" s="125"/>
      <c r="I9" s="46"/>
      <c r="K9" s="32"/>
      <c r="L9" s="35"/>
      <c r="M9" s="32"/>
      <c r="N9" s="32"/>
      <c r="O9" s="35"/>
      <c r="P9" s="36"/>
      <c r="Q9" s="36"/>
    </row>
    <row r="10" spans="1:17" ht="15.75" customHeight="1" thickBot="1" x14ac:dyDescent="0.3">
      <c r="A10" s="86"/>
      <c r="B10" s="88" t="s">
        <v>1</v>
      </c>
      <c r="C10" s="126"/>
      <c r="D10" s="127" t="s">
        <v>2</v>
      </c>
      <c r="E10" s="127" t="s">
        <v>3</v>
      </c>
      <c r="F10" s="127" t="s">
        <v>4</v>
      </c>
      <c r="G10" s="127" t="s">
        <v>5</v>
      </c>
      <c r="H10" s="128" t="s">
        <v>6</v>
      </c>
      <c r="L10" s="35"/>
      <c r="M10" s="32"/>
      <c r="N10" s="32"/>
      <c r="O10" s="35"/>
      <c r="P10" s="36"/>
      <c r="Q10" s="36"/>
    </row>
    <row r="11" spans="1:17" ht="15.75" customHeight="1" x14ac:dyDescent="0.25">
      <c r="A11" s="193" t="s">
        <v>169</v>
      </c>
      <c r="B11" s="129" t="s">
        <v>48</v>
      </c>
      <c r="C11" s="48"/>
      <c r="D11" s="49">
        <v>100</v>
      </c>
      <c r="E11" s="50">
        <f>IF($D11&gt;0, $D11*VLOOKUP($B11,'Thông Tin Đồ Ăn'!$B$4:$G$304,3, FALSE)/100,0)</f>
        <v>3</v>
      </c>
      <c r="F11" s="50">
        <f>IF($D11&gt;0, $D11*VLOOKUP($B11,'Thông Tin Đồ Ăn'!$B$4:$G$304,4, FALSE)/100,0)</f>
        <v>29</v>
      </c>
      <c r="G11" s="50">
        <f>IF($D11&gt;0, $D11*VLOOKUP($B11,'Thông Tin Đồ Ăn'!$B$4:$G$304,5, FALSE)/100,0)</f>
        <v>0</v>
      </c>
      <c r="H11" s="130">
        <f>IF($D11&gt;0, $D11*VLOOKUP($B11,'Thông Tin Đồ Ăn'!$B$4:$G$304,6, FALSE)/100,0)</f>
        <v>130</v>
      </c>
      <c r="L11" s="35"/>
      <c r="M11" s="32"/>
      <c r="N11" s="32"/>
      <c r="P11" s="36"/>
      <c r="Q11" s="36"/>
    </row>
    <row r="12" spans="1:17" ht="15.75" customHeight="1" x14ac:dyDescent="0.25">
      <c r="A12" s="194"/>
      <c r="B12" s="129" t="s">
        <v>56</v>
      </c>
      <c r="C12" s="48"/>
      <c r="D12" s="49">
        <v>100</v>
      </c>
      <c r="E12" s="50">
        <f>IF($D12&gt;0, $D12*VLOOKUP($B12,'Thông Tin Đồ Ăn'!$B$4:$G$304,3, FALSE)/100,0)</f>
        <v>18</v>
      </c>
      <c r="F12" s="50">
        <f>IF($D12&gt;0, $D12*VLOOKUP($B12,'Thông Tin Đồ Ăn'!$B$4:$G$304,4, FALSE)/100,0)</f>
        <v>0</v>
      </c>
      <c r="G12" s="50">
        <f>IF($D12&gt;0, $D12*VLOOKUP($B12,'Thông Tin Đồ Ăn'!$B$4:$G$304,5, FALSE)/100,0)</f>
        <v>9</v>
      </c>
      <c r="H12" s="130">
        <f>IF($D12&gt;0, $D12*VLOOKUP($B12,'Thông Tin Đồ Ăn'!$B$4:$G$304,6, FALSE)/100,0)</f>
        <v>152</v>
      </c>
      <c r="K12" s="32"/>
      <c r="L12" s="35"/>
      <c r="M12" s="32"/>
      <c r="N12" s="32"/>
      <c r="O12" s="35"/>
      <c r="P12" s="36"/>
      <c r="Q12" s="36"/>
    </row>
    <row r="13" spans="1:17" ht="15.75" customHeight="1" x14ac:dyDescent="0.25">
      <c r="A13" s="194"/>
      <c r="B13" s="129" t="s">
        <v>92</v>
      </c>
      <c r="C13" s="48"/>
      <c r="D13" s="49">
        <v>300</v>
      </c>
      <c r="E13" s="50">
        <f>IF($D13&gt;0, $D13*VLOOKUP($B13,'Thông Tin Đồ Ăn'!$B$4:$G$304,3, FALSE)/100,0)</f>
        <v>10.5</v>
      </c>
      <c r="F13" s="50">
        <f>IF($D13&gt;0, $D13*VLOOKUP($B13,'Thông Tin Đồ Ăn'!$B$4:$G$304,4, FALSE)/100,0)</f>
        <v>46.2</v>
      </c>
      <c r="G13" s="50">
        <f>IF($D13&gt;0, $D13*VLOOKUP($B13,'Thông Tin Đồ Ăn'!$B$4:$G$304,5, FALSE)/100,0)</f>
        <v>9</v>
      </c>
      <c r="H13" s="130">
        <f>IF($D13&gt;0, $D13*VLOOKUP($B13,'Thông Tin Đồ Ăn'!$B$4:$G$304,6, FALSE)/100,0)</f>
        <v>307.8</v>
      </c>
      <c r="K13" s="32"/>
      <c r="L13" s="35"/>
      <c r="M13" s="32"/>
      <c r="N13" s="32"/>
      <c r="O13" s="35"/>
      <c r="P13" s="36"/>
      <c r="Q13" s="36"/>
    </row>
    <row r="14" spans="1:17" ht="15.75" customHeight="1" x14ac:dyDescent="0.25">
      <c r="A14" s="194"/>
      <c r="B14" s="129" t="s">
        <v>107</v>
      </c>
      <c r="C14" s="48"/>
      <c r="D14" s="49">
        <v>400</v>
      </c>
      <c r="E14" s="50">
        <f>IF($D14&gt;0, $D14*VLOOKUP($B14,'Thông Tin Đồ Ăn'!$B$4:$G$304,3, FALSE)/100,0)</f>
        <v>52</v>
      </c>
      <c r="F14" s="50">
        <f>IF($D14&gt;0, $D14*VLOOKUP($B14,'Thông Tin Đồ Ăn'!$B$4:$G$304,4, FALSE)/100,0)</f>
        <v>4</v>
      </c>
      <c r="G14" s="50">
        <f>IF($D14&gt;0, $D14*VLOOKUP($B14,'Thông Tin Đồ Ăn'!$B$4:$G$304,5, FALSE)/100,0)</f>
        <v>40</v>
      </c>
      <c r="H14" s="130">
        <f>IF($D14&gt;0, $D14*VLOOKUP($B14,'Thông Tin Đồ Ăn'!$B$4:$G$304,6, FALSE)/100,0)</f>
        <v>572</v>
      </c>
      <c r="I14" s="32" t="s">
        <v>132</v>
      </c>
      <c r="L14" s="35"/>
      <c r="M14" s="32"/>
      <c r="N14" s="32"/>
      <c r="O14" s="35"/>
      <c r="P14" s="36"/>
      <c r="Q14" s="36"/>
    </row>
    <row r="15" spans="1:17" ht="15.75" customHeight="1" x14ac:dyDescent="0.25">
      <c r="A15" s="194"/>
      <c r="B15" s="129" t="s">
        <v>16</v>
      </c>
      <c r="C15" s="48"/>
      <c r="D15" s="49">
        <v>200</v>
      </c>
      <c r="E15" s="50">
        <f>IF($D15&gt;0, $D15*VLOOKUP($B15,'Thông Tin Đồ Ăn'!$B$4:$G$304,3, FALSE)/100,0)</f>
        <v>42</v>
      </c>
      <c r="F15" s="50">
        <f>IF($D15&gt;0, $D15*VLOOKUP($B15,'Thông Tin Đồ Ăn'!$B$4:$G$304,4, FALSE)/100,0)</f>
        <v>0</v>
      </c>
      <c r="G15" s="50">
        <f>IF($D15&gt;0, $D15*VLOOKUP($B15,'Thông Tin Đồ Ăn'!$B$4:$G$304,5, FALSE)/100,0)</f>
        <v>14</v>
      </c>
      <c r="H15" s="130">
        <f>IF($D15&gt;0, $D15*VLOOKUP($B15,'Thông Tin Đồ Ăn'!$B$4:$G$304,6, FALSE)/100,0)</f>
        <v>446</v>
      </c>
      <c r="K15" s="32"/>
      <c r="L15" s="35"/>
      <c r="M15" s="32"/>
      <c r="N15" s="32"/>
    </row>
    <row r="16" spans="1:17" ht="16.5" thickBot="1" x14ac:dyDescent="0.3">
      <c r="A16" s="195"/>
      <c r="B16" s="129" t="s">
        <v>109</v>
      </c>
      <c r="C16" s="48"/>
      <c r="D16" s="49">
        <v>100</v>
      </c>
      <c r="E16" s="50">
        <f>IF($D16&gt;0, $D16*VLOOKUP($B16,'Thông Tin Đồ Ăn'!$B$4:$G$304,3, FALSE)/100,0)</f>
        <v>21</v>
      </c>
      <c r="F16" s="50">
        <f>IF($D16&gt;0, $D16*VLOOKUP($B16,'Thông Tin Đồ Ăn'!$B$4:$G$304,4, FALSE)/100,0)</f>
        <v>0</v>
      </c>
      <c r="G16" s="50">
        <f>IF($D16&gt;0, $D16*VLOOKUP($B16,'Thông Tin Đồ Ăn'!$B$4:$G$304,5, FALSE)/100,0)</f>
        <v>3</v>
      </c>
      <c r="H16" s="130">
        <f>IF($D16&gt;0, $D16*VLOOKUP($B16,'Thông Tin Đồ Ăn'!$B$4:$G$304,6, FALSE)/100,0)</f>
        <v>119</v>
      </c>
      <c r="K16" s="32"/>
      <c r="L16" s="35"/>
      <c r="M16" s="32"/>
      <c r="N16" s="32"/>
      <c r="O16" s="36"/>
      <c r="P16" s="36"/>
      <c r="Q16" s="36"/>
    </row>
    <row r="17" spans="1:17" ht="15.75" customHeight="1" x14ac:dyDescent="0.25">
      <c r="A17" s="121"/>
      <c r="B17" s="131" t="s">
        <v>133</v>
      </c>
      <c r="C17" s="48"/>
      <c r="D17" s="49">
        <v>200</v>
      </c>
      <c r="E17" s="50">
        <f>IF($D17&gt;0, $D17*VLOOKUP($B17,'Thông Tin Đồ Ăn'!$B$4:$G$304,3, FALSE)/100,0)</f>
        <v>2.2000000000000002</v>
      </c>
      <c r="F17" s="50">
        <f>IF($D17&gt;0, $D17*VLOOKUP($B17,'Thông Tin Đồ Ăn'!$B$4:$G$304,4, FALSE)/100,0)</f>
        <v>46</v>
      </c>
      <c r="G17" s="50">
        <f>IF($D17&gt;0, $D17*VLOOKUP($B17,'Thông Tin Đồ Ăn'!$B$4:$G$304,5, FALSE)/100,0)</f>
        <v>0</v>
      </c>
      <c r="H17" s="130">
        <f>IF($D17&gt;0, $D17*VLOOKUP($B17,'Thông Tin Đồ Ăn'!$B$4:$G$304,6, FALSE)/100,0)</f>
        <v>176</v>
      </c>
      <c r="K17" s="32"/>
      <c r="L17" s="35"/>
      <c r="M17" s="32"/>
      <c r="N17" s="32"/>
      <c r="O17" s="35"/>
      <c r="P17" s="36"/>
      <c r="Q17" s="36"/>
    </row>
    <row r="18" spans="1:17" ht="15.75" customHeight="1" x14ac:dyDescent="0.25">
      <c r="A18" s="121"/>
      <c r="B18" s="129"/>
      <c r="C18" s="48"/>
      <c r="D18" s="49"/>
      <c r="E18" s="50">
        <f>IF($D18&gt;0, $D18*VLOOKUP($B18,'Thông Tin Đồ Ăn'!$B$4:$G$304,3, FALSE)/100,0)</f>
        <v>0</v>
      </c>
      <c r="F18" s="50">
        <f>IF($D18&gt;0, $D18*VLOOKUP($B18,'Thông Tin Đồ Ăn'!$B$4:$G$304,4, FALSE)/100,0)</f>
        <v>0</v>
      </c>
      <c r="G18" s="50">
        <f>IF($D18&gt;0, $D18*VLOOKUP($B18,'Thông Tin Đồ Ăn'!$B$4:$G$304,5, FALSE)/100,0)</f>
        <v>0</v>
      </c>
      <c r="H18" s="130">
        <f>IF($D18&gt;0, $D18*VLOOKUP($B18,'Thông Tin Đồ Ăn'!$B$4:$G$304,6, FALSE)/100,0)</f>
        <v>0</v>
      </c>
      <c r="K18" s="32"/>
      <c r="L18" s="35"/>
      <c r="M18" s="32"/>
      <c r="N18" s="32"/>
      <c r="O18" s="35"/>
      <c r="P18" s="36"/>
      <c r="Q18" s="36"/>
    </row>
    <row r="19" spans="1:17" ht="15.75" customHeight="1" x14ac:dyDescent="0.25">
      <c r="A19" s="121"/>
      <c r="B19" s="129"/>
      <c r="C19" s="48"/>
      <c r="D19" s="49"/>
      <c r="E19" s="50">
        <f>IF($D19&gt;0, $D19*VLOOKUP($B19,'Thông Tin Đồ Ăn'!$B$4:$G$304,3, FALSE)/100,0)</f>
        <v>0</v>
      </c>
      <c r="F19" s="50">
        <f>IF($D19&gt;0, $D19*VLOOKUP($B19,'Thông Tin Đồ Ăn'!$B$4:$G$304,4, FALSE)/100,0)</f>
        <v>0</v>
      </c>
      <c r="G19" s="50">
        <f>IF($D19&gt;0, $D19*VLOOKUP($B19,'Thông Tin Đồ Ăn'!$B$4:$G$304,5, FALSE)/100,0)</f>
        <v>0</v>
      </c>
      <c r="H19" s="130">
        <f>IF($D19&gt;0, $D19*VLOOKUP($B19,'Thông Tin Đồ Ăn'!$B$4:$G$304,6, FALSE)/100,0)</f>
        <v>0</v>
      </c>
      <c r="K19" s="32"/>
      <c r="L19" s="35"/>
      <c r="M19" s="32"/>
      <c r="N19" s="32"/>
      <c r="O19" s="35"/>
      <c r="P19" s="36"/>
      <c r="Q19" s="36"/>
    </row>
    <row r="20" spans="1:17" ht="15.75" customHeight="1" x14ac:dyDescent="0.25">
      <c r="A20" s="121"/>
      <c r="B20" s="129"/>
      <c r="C20" s="48"/>
      <c r="D20" s="49"/>
      <c r="E20" s="50">
        <f>IF($D20&gt;0, $D20*VLOOKUP($B20,'Thông Tin Đồ Ăn'!$B$4:$G$304,3, FALSE)/100,0)</f>
        <v>0</v>
      </c>
      <c r="F20" s="50">
        <f>IF($D20&gt;0, $D20*VLOOKUP($B20,'Thông Tin Đồ Ăn'!$B$4:$G$304,4, FALSE)/100,0)</f>
        <v>0</v>
      </c>
      <c r="G20" s="50">
        <f>IF($D20&gt;0, $D20*VLOOKUP($B20,'Thông Tin Đồ Ăn'!$B$4:$G$304,5, FALSE)/100,0)</f>
        <v>0</v>
      </c>
      <c r="H20" s="130">
        <f>IF($D20&gt;0, $D20*VLOOKUP($B20,'Thông Tin Đồ Ăn'!$B$4:$G$304,6, FALSE)/100,0)</f>
        <v>0</v>
      </c>
      <c r="L20" s="35"/>
      <c r="M20" s="32"/>
      <c r="N20" s="32"/>
      <c r="P20" s="36"/>
      <c r="Q20" s="36"/>
    </row>
    <row r="21" spans="1:17" ht="15.75" customHeight="1" x14ac:dyDescent="0.25">
      <c r="A21" s="121"/>
      <c r="B21" s="129"/>
      <c r="C21" s="48"/>
      <c r="D21" s="49"/>
      <c r="E21" s="50">
        <f>IF($D21&gt;0, $D21*VLOOKUP($B21,'Thông Tin Đồ Ăn'!$B$4:$G$304,3, FALSE)/100,0)</f>
        <v>0</v>
      </c>
      <c r="F21" s="50">
        <f>IF($D21&gt;0, $D21*VLOOKUP($B21,'Thông Tin Đồ Ăn'!$B$4:$G$304,4, FALSE)/100,0)</f>
        <v>0</v>
      </c>
      <c r="G21" s="50">
        <f>IF($D21&gt;0, $D21*VLOOKUP($B21,'Thông Tin Đồ Ăn'!$B$4:$G$304,5, FALSE)/100,0)</f>
        <v>0</v>
      </c>
      <c r="H21" s="130">
        <f>IF($D21&gt;0, $D21*VLOOKUP($B21,'Thông Tin Đồ Ăn'!$B$4:$G$304,6, FALSE)/100,0)</f>
        <v>0</v>
      </c>
      <c r="K21" s="32"/>
      <c r="L21" s="35"/>
      <c r="M21" s="32"/>
      <c r="N21" s="32"/>
      <c r="O21" s="36"/>
      <c r="P21" s="36"/>
      <c r="Q21" s="36"/>
    </row>
    <row r="22" spans="1:17" ht="15.75" customHeight="1" x14ac:dyDescent="0.25">
      <c r="A22" s="122"/>
      <c r="B22" s="129"/>
      <c r="C22" s="48"/>
      <c r="D22" s="49"/>
      <c r="E22" s="50">
        <f>IF($D22&gt;0, $D22*VLOOKUP($B22,'Thông Tin Đồ Ăn'!$B$4:$G$304,3, FALSE)/100,0)</f>
        <v>0</v>
      </c>
      <c r="F22" s="50">
        <f>IF($D22&gt;0, $D22*VLOOKUP($B22,'Thông Tin Đồ Ăn'!$B$4:$G$304,4, FALSE)/100,0)</f>
        <v>0</v>
      </c>
      <c r="G22" s="50">
        <f>IF($D22&gt;0, $D22*VLOOKUP($B22,'Thông Tin Đồ Ăn'!$B$4:$G$304,5, FALSE)/100,0)</f>
        <v>0</v>
      </c>
      <c r="H22" s="130">
        <f>IF($D22&gt;0, $D22*VLOOKUP($B22,'Thông Tin Đồ Ăn'!$B$4:$G$304,6, FALSE)/100,0)</f>
        <v>0</v>
      </c>
      <c r="L22" s="35"/>
      <c r="M22" s="32"/>
      <c r="N22" s="32"/>
    </row>
    <row r="23" spans="1:17" ht="15.75" customHeight="1" x14ac:dyDescent="0.25">
      <c r="A23" s="122"/>
      <c r="B23" s="132"/>
      <c r="C23" s="51"/>
      <c r="D23" s="133"/>
      <c r="E23" s="50">
        <f>IF($D23&gt;0, $D23*VLOOKUP($B23,'Thông Tin Đồ Ăn'!$B$4:$G$304,3, FALSE)/100,0)</f>
        <v>0</v>
      </c>
      <c r="F23" s="50">
        <f>IF($D23&gt;0, $D23*VLOOKUP($B23,'Thông Tin Đồ Ăn'!$B$4:$G$304,4, FALSE)/100,0)</f>
        <v>0</v>
      </c>
      <c r="G23" s="50">
        <f>IF($D23&gt;0, $D23*VLOOKUP($B23,'Thông Tin Đồ Ăn'!$B$4:$G$304,5, FALSE)/100,0)</f>
        <v>0</v>
      </c>
      <c r="H23" s="130">
        <f>IF($D23&gt;0, $D23*VLOOKUP($B23,'Thông Tin Đồ Ăn'!$B$4:$G$304,6, FALSE)/100,0)</f>
        <v>0</v>
      </c>
      <c r="I23" s="36"/>
      <c r="M23" s="32"/>
      <c r="N23" s="32"/>
    </row>
    <row r="24" spans="1:17" ht="15.75" customHeight="1" x14ac:dyDescent="0.25">
      <c r="A24" s="122"/>
      <c r="B24" s="132"/>
      <c r="C24" s="51"/>
      <c r="D24" s="133"/>
      <c r="E24" s="50">
        <f>IF($D24&gt;0, $D24*VLOOKUP($B24,'Thông Tin Đồ Ăn'!$B$4:$G$304,3, FALSE)/100,0)</f>
        <v>0</v>
      </c>
      <c r="F24" s="50">
        <f>IF($D24&gt;0, $D24*VLOOKUP($B24,'Thông Tin Đồ Ăn'!$B$4:$G$304,4, FALSE)/100,0)</f>
        <v>0</v>
      </c>
      <c r="G24" s="50">
        <f>IF($D24&gt;0, $D24*VLOOKUP($B24,'Thông Tin Đồ Ăn'!$B$4:$G$304,5, FALSE)/100,0)</f>
        <v>0</v>
      </c>
      <c r="H24" s="130">
        <f>IF($D24&gt;0, $D24*VLOOKUP($B24,'Thông Tin Đồ Ăn'!$B$4:$G$304,6, FALSE)/100,0)</f>
        <v>0</v>
      </c>
      <c r="M24" s="32"/>
      <c r="N24" s="32"/>
    </row>
    <row r="25" spans="1:17" ht="15.75" customHeight="1" x14ac:dyDescent="0.25">
      <c r="A25" s="122"/>
      <c r="B25" s="132"/>
      <c r="C25" s="51"/>
      <c r="D25" s="133"/>
      <c r="E25" s="50">
        <f>IF($D25&gt;0, $D25*VLOOKUP($B25,'Thông Tin Đồ Ăn'!$B$4:$G$304,3, FALSE)/100,0)</f>
        <v>0</v>
      </c>
      <c r="F25" s="50">
        <f>IF($D25&gt;0, $D25*VLOOKUP($B25,'Thông Tin Đồ Ăn'!$B$4:$G$304,4, FALSE)/100,0)</f>
        <v>0</v>
      </c>
      <c r="G25" s="50">
        <f>IF($D25&gt;0, $D25*VLOOKUP($B25,'Thông Tin Đồ Ăn'!$B$4:$G$304,5, FALSE)/100,0)</f>
        <v>0</v>
      </c>
      <c r="H25" s="130">
        <f>IF($D25&gt;0, $D25*VLOOKUP($B25,'Thông Tin Đồ Ăn'!$B$4:$G$304,6, FALSE)/100,0)</f>
        <v>0</v>
      </c>
      <c r="I25" s="36"/>
      <c r="M25" s="32"/>
      <c r="N25" s="32"/>
    </row>
    <row r="26" spans="1:17" ht="15.75" customHeight="1" x14ac:dyDescent="0.25">
      <c r="A26" s="122"/>
      <c r="B26" s="132"/>
      <c r="C26" s="51"/>
      <c r="D26" s="133"/>
      <c r="E26" s="50">
        <f>IF($D26&gt;0, $D26*VLOOKUP($B26,'Thông Tin Đồ Ăn'!$B$4:$G$304,3, FALSE)/100,0)</f>
        <v>0</v>
      </c>
      <c r="F26" s="50">
        <f>IF($D26&gt;0, $D26*VLOOKUP($B26,'Thông Tin Đồ Ăn'!$B$4:$G$304,4, FALSE)/100,0)</f>
        <v>0</v>
      </c>
      <c r="G26" s="50">
        <f>IF($D26&gt;0, $D26*VLOOKUP($B26,'Thông Tin Đồ Ăn'!$B$4:$G$304,5, FALSE)/100,0)</f>
        <v>0</v>
      </c>
      <c r="H26" s="130">
        <f>IF($D26&gt;0, $D26*VLOOKUP($B26,'Thông Tin Đồ Ăn'!$B$4:$G$304,6, FALSE)/100,0)</f>
        <v>0</v>
      </c>
      <c r="I26" s="36"/>
      <c r="M26" s="32"/>
      <c r="N26" s="32"/>
    </row>
    <row r="27" spans="1:17" ht="15.75" customHeight="1" x14ac:dyDescent="0.25">
      <c r="A27" s="122"/>
      <c r="B27" s="132"/>
      <c r="C27" s="51"/>
      <c r="D27" s="133"/>
      <c r="E27" s="50">
        <f>IF($D27&gt;0, $D27*VLOOKUP($B27,'Thông Tin Đồ Ăn'!$B$4:$G$304,3, FALSE)/100,0)</f>
        <v>0</v>
      </c>
      <c r="F27" s="50">
        <f>IF($D27&gt;0, $D27*VLOOKUP($B27,'Thông Tin Đồ Ăn'!$B$4:$G$304,4, FALSE)/100,0)</f>
        <v>0</v>
      </c>
      <c r="G27" s="50">
        <f>IF($D27&gt;0, $D27*VLOOKUP($B27,'Thông Tin Đồ Ăn'!$B$4:$G$304,5, FALSE)/100,0)</f>
        <v>0</v>
      </c>
      <c r="H27" s="130">
        <f>IF($D27&gt;0, $D27*VLOOKUP($B27,'Thông Tin Đồ Ăn'!$B$4:$G$304,6, FALSE)/100,0)</f>
        <v>0</v>
      </c>
      <c r="I27" s="36"/>
    </row>
    <row r="28" spans="1:17" ht="15.75" customHeight="1" x14ac:dyDescent="0.25">
      <c r="A28" s="122"/>
      <c r="B28" s="129"/>
      <c r="C28" s="52"/>
      <c r="D28" s="49"/>
      <c r="E28" s="50">
        <f>IF($D28&gt;0, $D28*VLOOKUP($B28,'Thông Tin Đồ Ăn'!$B$4:$G$304,3, FALSE)/100,0)</f>
        <v>0</v>
      </c>
      <c r="F28" s="50">
        <f>IF($D28&gt;0, $D28*VLOOKUP($B28,'Thông Tin Đồ Ăn'!$B$4:$G$304,4, FALSE)/100,0)</f>
        <v>0</v>
      </c>
      <c r="G28" s="50">
        <f>IF($D28&gt;0, $D28*VLOOKUP($B28,'Thông Tin Đồ Ăn'!$B$4:$G$304,5, FALSE)/100,0)</f>
        <v>0</v>
      </c>
      <c r="H28" s="130">
        <f>IF($D28&gt;0, $D28*VLOOKUP($B28,'Thông Tin Đồ Ăn'!$B$4:$G$304,6, FALSE)/100,0)</f>
        <v>0</v>
      </c>
      <c r="I28" s="36"/>
    </row>
    <row r="29" spans="1:17" ht="15.75" customHeight="1" x14ac:dyDescent="0.25">
      <c r="A29" s="122"/>
      <c r="B29" s="129"/>
      <c r="C29" s="53"/>
      <c r="D29" s="134"/>
      <c r="E29" s="50">
        <f>IF($D29&gt;0, $D29*VLOOKUP($B29,'Thông Tin Đồ Ăn'!$B$4:$G$304,3, FALSE)/100,0)</f>
        <v>0</v>
      </c>
      <c r="F29" s="50">
        <f>IF($D29&gt;0, $D29*VLOOKUP($B29,'Thông Tin Đồ Ăn'!$B$4:$G$304,4, FALSE)/100,0)</f>
        <v>0</v>
      </c>
      <c r="G29" s="50">
        <f>IF($D29&gt;0, $D29*VLOOKUP($B29,'Thông Tin Đồ Ăn'!$B$4:$G$304,5, FALSE)/100,0)</f>
        <v>0</v>
      </c>
      <c r="H29" s="130">
        <f>IF($D29&gt;0, $D29*VLOOKUP($B29,'Thông Tin Đồ Ăn'!$B$4:$G$304,6, FALSE)/100,0)</f>
        <v>0</v>
      </c>
      <c r="I29" s="36"/>
    </row>
    <row r="30" spans="1:17" ht="15.75" customHeight="1" x14ac:dyDescent="0.25">
      <c r="A30" s="122"/>
      <c r="B30" s="132"/>
      <c r="C30" s="51"/>
      <c r="D30" s="133"/>
      <c r="E30" s="50">
        <f>IF($D30&gt;0, $D30*VLOOKUP($B30,'Thông Tin Đồ Ăn'!$B$4:$G$304,3, FALSE)/100,0)</f>
        <v>0</v>
      </c>
      <c r="F30" s="50">
        <f>IF($D30&gt;0, $D30*VLOOKUP($B30,'Thông Tin Đồ Ăn'!$B$4:$G$304,4, FALSE)/100,0)</f>
        <v>0</v>
      </c>
      <c r="G30" s="50">
        <f>IF($D30&gt;0, $D30*VLOOKUP($B30,'Thông Tin Đồ Ăn'!$B$4:$G$304,5, FALSE)/100,0)</f>
        <v>0</v>
      </c>
      <c r="H30" s="130">
        <f>IF($D30&gt;0, $D30*VLOOKUP($B30,'Thông Tin Đồ Ăn'!$B$4:$G$304,6, FALSE)/100,0)</f>
        <v>0</v>
      </c>
      <c r="I30" s="36"/>
    </row>
    <row r="31" spans="1:17" ht="15.75" customHeight="1" x14ac:dyDescent="0.25">
      <c r="A31" s="122"/>
      <c r="B31" s="132"/>
      <c r="C31" s="51"/>
      <c r="D31" s="133"/>
      <c r="E31" s="50">
        <f>IF($D31&gt;0, $D31*VLOOKUP($B31,'Thông Tin Đồ Ăn'!$B$4:$G$304,3, FALSE)/100,0)</f>
        <v>0</v>
      </c>
      <c r="F31" s="50">
        <f>IF($D31&gt;0, $D31*VLOOKUP($B31,'Thông Tin Đồ Ăn'!$B$4:$G$304,4, FALSE)/100,0)</f>
        <v>0</v>
      </c>
      <c r="G31" s="50">
        <f>IF($D31&gt;0, $D31*VLOOKUP($B31,'Thông Tin Đồ Ăn'!$B$4:$G$304,5, FALSE)/100,0)</f>
        <v>0</v>
      </c>
      <c r="H31" s="130">
        <f>IF($D31&gt;0, $D31*VLOOKUP($B31,'Thông Tin Đồ Ăn'!$B$4:$G$304,6, FALSE)/100,0)</f>
        <v>0</v>
      </c>
    </row>
    <row r="32" spans="1:17" ht="15.75" customHeight="1" x14ac:dyDescent="0.25">
      <c r="A32" s="122"/>
      <c r="B32" s="132"/>
      <c r="C32" s="51"/>
      <c r="D32" s="133"/>
      <c r="E32" s="50">
        <f>IF($D32&gt;0, $D32*VLOOKUP($B32,'Thông Tin Đồ Ăn'!$B$4:$G$304,3, FALSE)/100,0)</f>
        <v>0</v>
      </c>
      <c r="F32" s="50">
        <f>IF($D32&gt;0, $D32*VLOOKUP($B32,'Thông Tin Đồ Ăn'!$B$4:$G$304,4, FALSE)/100,0)</f>
        <v>0</v>
      </c>
      <c r="G32" s="50">
        <f>IF($D32&gt;0, $D32*VLOOKUP($B32,'Thông Tin Đồ Ăn'!$B$4:$G$304,5, FALSE)/100,0)</f>
        <v>0</v>
      </c>
      <c r="H32" s="130">
        <f>IF($D32&gt;0, $D32*VLOOKUP($B32,'Thông Tin Đồ Ăn'!$B$4:$G$304,6, FALSE)/100,0)</f>
        <v>0</v>
      </c>
      <c r="I32" s="36"/>
    </row>
    <row r="33" spans="1:17" ht="15.75" customHeight="1" x14ac:dyDescent="0.25">
      <c r="A33" s="122"/>
      <c r="B33" s="132"/>
      <c r="C33" s="51"/>
      <c r="D33" s="133"/>
      <c r="E33" s="50">
        <f>IF($D33&gt;0, $D33*VLOOKUP($B33,'Thông Tin Đồ Ăn'!$B$4:$G$304,3, FALSE)/100,0)</f>
        <v>0</v>
      </c>
      <c r="F33" s="50">
        <f>IF($D33&gt;0, $D33*VLOOKUP($B33,'Thông Tin Đồ Ăn'!$B$4:$G$304,4, FALSE)/100,0)</f>
        <v>0</v>
      </c>
      <c r="G33" s="50">
        <f>IF($D33&gt;0, $D33*VLOOKUP($B33,'Thông Tin Đồ Ăn'!$B$4:$G$304,5, FALSE)/100,0)</f>
        <v>0</v>
      </c>
      <c r="H33" s="130">
        <f>IF($D33&gt;0, $D33*VLOOKUP($B33,'Thông Tin Đồ Ăn'!$B$4:$G$304,6, FALSE)/100,0)</f>
        <v>0</v>
      </c>
      <c r="I33" s="36"/>
    </row>
    <row r="34" spans="1:17" ht="15.75" customHeight="1" x14ac:dyDescent="0.25">
      <c r="A34" s="122"/>
      <c r="B34" s="132"/>
      <c r="C34" s="51"/>
      <c r="D34" s="133"/>
      <c r="E34" s="50">
        <f>IF($D34&gt;0, $D34*VLOOKUP($B34,'Thông Tin Đồ Ăn'!$B$4:$G$304,3, FALSE)/100,0)</f>
        <v>0</v>
      </c>
      <c r="F34" s="50">
        <f>IF($D34&gt;0, $D34*VLOOKUP($B34,'Thông Tin Đồ Ăn'!$B$4:$G$304,4, FALSE)/100,0)</f>
        <v>0</v>
      </c>
      <c r="G34" s="50">
        <f>IF($D34&gt;0, $D34*VLOOKUP($B34,'Thông Tin Đồ Ăn'!$B$4:$G$304,5, FALSE)/100,0)</f>
        <v>0</v>
      </c>
      <c r="H34" s="130">
        <f>IF($D34&gt;0, $D34*VLOOKUP($B34,'Thông Tin Đồ Ăn'!$B$4:$G$304,6, FALSE)/100,0)</f>
        <v>0</v>
      </c>
      <c r="O34" s="36"/>
      <c r="P34" s="36"/>
      <c r="Q34" s="36"/>
    </row>
    <row r="35" spans="1:17" ht="15.75" customHeight="1" x14ac:dyDescent="0.25">
      <c r="A35" s="122"/>
      <c r="B35" s="132"/>
      <c r="C35" s="51"/>
      <c r="D35" s="133"/>
      <c r="E35" s="50">
        <f>IF($D35&gt;0, $D35*VLOOKUP($B35,'Thông Tin Đồ Ăn'!$B$4:$G$304,3, FALSE)/100,0)</f>
        <v>0</v>
      </c>
      <c r="F35" s="50">
        <f>IF($D35&gt;0, $D35*VLOOKUP($B35,'Thông Tin Đồ Ăn'!$B$4:$G$304,4, FALSE)/100,0)</f>
        <v>0</v>
      </c>
      <c r="G35" s="50">
        <f>IF($D35&gt;0, $D35*VLOOKUP($B35,'Thông Tin Đồ Ăn'!$B$4:$G$304,5, FALSE)/100,0)</f>
        <v>0</v>
      </c>
      <c r="H35" s="130">
        <f>IF($D35&gt;0, $D35*VLOOKUP($B35,'Thông Tin Đồ Ăn'!$B$4:$G$304,6, FALSE)/100,0)</f>
        <v>0</v>
      </c>
      <c r="I35" s="54"/>
      <c r="J35" s="54"/>
      <c r="O35" s="35"/>
      <c r="P35" s="36"/>
      <c r="Q35" s="36"/>
    </row>
    <row r="36" spans="1:17" ht="15.75" customHeight="1" x14ac:dyDescent="0.25">
      <c r="A36" s="122"/>
      <c r="B36" s="132"/>
      <c r="C36" s="51"/>
      <c r="D36" s="133"/>
      <c r="E36" s="50">
        <f>IF($D36&gt;0, $D36*VLOOKUP($B36,'Thông Tin Đồ Ăn'!$B$4:$G$304,3, FALSE)/100,0)</f>
        <v>0</v>
      </c>
      <c r="F36" s="50">
        <f>IF($D36&gt;0, $D36*VLOOKUP($B36,'Thông Tin Đồ Ăn'!$B$4:$G$304,4, FALSE)/100,0)</f>
        <v>0</v>
      </c>
      <c r="G36" s="50">
        <f>IF($D36&gt;0, $D36*VLOOKUP($B36,'Thông Tin Đồ Ăn'!$B$4:$G$304,5, FALSE)/100,0)</f>
        <v>0</v>
      </c>
      <c r="H36" s="130">
        <f>IF($D36&gt;0, $D36*VLOOKUP($B36,'Thông Tin Đồ Ăn'!$B$4:$G$304,6, FALSE)/100,0)</f>
        <v>0</v>
      </c>
      <c r="I36" s="54"/>
      <c r="J36" s="54"/>
      <c r="O36" s="35"/>
      <c r="P36" s="36"/>
      <c r="Q36" s="36"/>
    </row>
    <row r="37" spans="1:17" ht="15.75" customHeight="1" x14ac:dyDescent="0.25">
      <c r="A37" s="122"/>
      <c r="B37" s="132"/>
      <c r="C37" s="51"/>
      <c r="D37" s="133"/>
      <c r="E37" s="50">
        <f>IF($D37&gt;0, $D37*VLOOKUP($B37,'Thông Tin Đồ Ăn'!$B$4:$G$304,3, FALSE)/100,0)</f>
        <v>0</v>
      </c>
      <c r="F37" s="50">
        <f>IF($D37&gt;0, $D37*VLOOKUP($B37,'Thông Tin Đồ Ăn'!$B$4:$G$304,4, FALSE)/100,0)</f>
        <v>0</v>
      </c>
      <c r="G37" s="50">
        <f>IF($D37&gt;0, $D37*VLOOKUP($B37,'Thông Tin Đồ Ăn'!$B$4:$G$304,5, FALSE)/100,0)</f>
        <v>0</v>
      </c>
      <c r="H37" s="130">
        <f>IF($D37&gt;0, $D37*VLOOKUP($B37,'Thông Tin Đồ Ăn'!$B$4:$G$304,6, FALSE)/100,0)</f>
        <v>0</v>
      </c>
      <c r="P37" s="36"/>
      <c r="Q37" s="36"/>
    </row>
    <row r="38" spans="1:17" ht="15.75" customHeight="1" x14ac:dyDescent="0.25">
      <c r="A38" s="123"/>
      <c r="B38" s="132"/>
      <c r="C38" s="51"/>
      <c r="D38" s="133"/>
      <c r="E38" s="50">
        <f>IF($D38&gt;0, $D38*VLOOKUP($B38,'Thông Tin Đồ Ăn'!$B$4:$G$304,3, FALSE)/100,0)</f>
        <v>0</v>
      </c>
      <c r="F38" s="50">
        <f>IF($D38&gt;0, $D38*VLOOKUP($B38,'Thông Tin Đồ Ăn'!$B$4:$G$304,4, FALSE)/100,0)</f>
        <v>0</v>
      </c>
      <c r="G38" s="50">
        <f>IF($D38&gt;0, $D38*VLOOKUP($B38,'Thông Tin Đồ Ăn'!$B$4:$G$304,5, FALSE)/100,0)</f>
        <v>0</v>
      </c>
      <c r="H38" s="130">
        <f>IF($D38&gt;0, $D38*VLOOKUP($B38,'Thông Tin Đồ Ăn'!$B$4:$G$304,6, FALSE)/100,0)</f>
        <v>0</v>
      </c>
    </row>
    <row r="39" spans="1:17" ht="15.75" customHeight="1" x14ac:dyDescent="0.25">
      <c r="A39" s="123"/>
      <c r="B39" s="132"/>
      <c r="C39" s="51"/>
      <c r="D39" s="133"/>
      <c r="E39" s="50">
        <f>IF($D39&gt;0, $D39*VLOOKUP($B39,'Thông Tin Đồ Ăn'!$B$4:$G$304,3, FALSE)/100,0)</f>
        <v>0</v>
      </c>
      <c r="F39" s="50">
        <f>IF($D39&gt;0, $D39*VLOOKUP($B39,'Thông Tin Đồ Ăn'!$B$4:$G$304,4, FALSE)/100,0)</f>
        <v>0</v>
      </c>
      <c r="G39" s="50">
        <f>IF($D39&gt;0, $D39*VLOOKUP($B39,'Thông Tin Đồ Ăn'!$B$4:$G$304,5, FALSE)/100,0)</f>
        <v>0</v>
      </c>
      <c r="H39" s="130">
        <f>IF($D39&gt;0, $D39*VLOOKUP($B39,'Thông Tin Đồ Ăn'!$B$4:$G$304,6, FALSE)/100,0)</f>
        <v>0</v>
      </c>
      <c r="O39" s="35"/>
      <c r="P39" s="36"/>
      <c r="Q39" s="36"/>
    </row>
    <row r="40" spans="1:17" ht="15.75" customHeight="1" x14ac:dyDescent="0.25">
      <c r="A40" s="123"/>
      <c r="B40" s="132"/>
      <c r="C40" s="51"/>
      <c r="D40" s="133"/>
      <c r="E40" s="50">
        <f>IF($D40&gt;0, $D40*VLOOKUP($B40,'Thông Tin Đồ Ăn'!$B$4:$G$304,3, FALSE)/100,0)</f>
        <v>0</v>
      </c>
      <c r="F40" s="50">
        <f>IF($D40&gt;0, $D40*VLOOKUP($B40,'Thông Tin Đồ Ăn'!$B$4:$G$304,4, FALSE)/100,0)</f>
        <v>0</v>
      </c>
      <c r="G40" s="50">
        <f>IF($D40&gt;0, $D40*VLOOKUP($B40,'Thông Tin Đồ Ăn'!$B$4:$G$304,5, FALSE)/100,0)</f>
        <v>0</v>
      </c>
      <c r="H40" s="130">
        <f>IF($D40&gt;0, $D40*VLOOKUP($B40,'Thông Tin Đồ Ăn'!$B$4:$G$304,6, FALSE)/100,0)</f>
        <v>0</v>
      </c>
    </row>
    <row r="41" spans="1:17" ht="15.75" customHeight="1" x14ac:dyDescent="0.25">
      <c r="A41" s="123"/>
      <c r="B41" s="132"/>
      <c r="C41" s="51"/>
      <c r="D41" s="133"/>
      <c r="E41" s="50">
        <f>IF($D41&gt;0, $D41*VLOOKUP($B41,'Thông Tin Đồ Ăn'!$B$4:$G$304,3, FALSE)/100,0)</f>
        <v>0</v>
      </c>
      <c r="F41" s="50">
        <f>IF($D41&gt;0, $D41*VLOOKUP($B41,'Thông Tin Đồ Ăn'!$B$4:$G$304,4, FALSE)/100,0)</f>
        <v>0</v>
      </c>
      <c r="G41" s="50">
        <f>IF($D41&gt;0, $D41*VLOOKUP($B41,'Thông Tin Đồ Ăn'!$B$4:$G$304,5, FALSE)/100,0)</f>
        <v>0</v>
      </c>
      <c r="H41" s="130">
        <f>IF($D41&gt;0, $D41*VLOOKUP($B41,'Thông Tin Đồ Ăn'!$B$4:$G$304,6, FALSE)/100,0)</f>
        <v>0</v>
      </c>
      <c r="O41" s="35"/>
      <c r="P41" s="36"/>
      <c r="Q41" s="36"/>
    </row>
    <row r="42" spans="1:17" ht="15.75" customHeight="1" x14ac:dyDescent="0.25">
      <c r="A42" s="123"/>
      <c r="B42" s="132"/>
      <c r="C42" s="51"/>
      <c r="D42" s="133"/>
      <c r="E42" s="50">
        <f>IF($D42&gt;0, $D42*VLOOKUP($B42,'Thông Tin Đồ Ăn'!$B$4:$G$304,3, FALSE)/100,0)</f>
        <v>0</v>
      </c>
      <c r="F42" s="50">
        <f>IF($D42&gt;0, $D42*VLOOKUP($B42,'Thông Tin Đồ Ăn'!$B$4:$G$304,4, FALSE)/100,0)</f>
        <v>0</v>
      </c>
      <c r="G42" s="50">
        <f>IF($D42&gt;0, $D42*VLOOKUP($B42,'Thông Tin Đồ Ăn'!$B$4:$G$304,5, FALSE)/100,0)</f>
        <v>0</v>
      </c>
      <c r="H42" s="130">
        <f>IF($D42&gt;0, $D42*VLOOKUP($B42,'Thông Tin Đồ Ăn'!$B$4:$G$304,6, FALSE)/100,0)</f>
        <v>0</v>
      </c>
      <c r="O42" s="35"/>
      <c r="P42" s="36"/>
      <c r="Q42" s="36"/>
    </row>
    <row r="43" spans="1:17" ht="15.75" customHeight="1" x14ac:dyDescent="0.25">
      <c r="A43" s="123"/>
      <c r="B43" s="132"/>
      <c r="C43" s="51"/>
      <c r="D43" s="133"/>
      <c r="E43" s="50">
        <f>IF($D43&gt;0, $D43*VLOOKUP($B43,'Thông Tin Đồ Ăn'!$B$4:$G$304,3, FALSE)/100,0)</f>
        <v>0</v>
      </c>
      <c r="F43" s="50">
        <f>IF($D43&gt;0, $D43*VLOOKUP($B43,'Thông Tin Đồ Ăn'!$B$4:$G$304,4, FALSE)/100,0)</f>
        <v>0</v>
      </c>
      <c r="G43" s="50">
        <f>IF($D43&gt;0, $D43*VLOOKUP($B43,'Thông Tin Đồ Ăn'!$B$4:$G$304,5, FALSE)/100,0)</f>
        <v>0</v>
      </c>
      <c r="H43" s="130">
        <f>IF($D43&gt;0, $D43*VLOOKUP($B43,'Thông Tin Đồ Ăn'!$B$4:$G$304,6, FALSE)/100,0)</f>
        <v>0</v>
      </c>
      <c r="O43" s="35"/>
      <c r="P43" s="36"/>
      <c r="Q43" s="36"/>
    </row>
    <row r="44" spans="1:17" ht="15.75" customHeight="1" x14ac:dyDescent="0.25">
      <c r="A44" s="123"/>
      <c r="B44" s="132"/>
      <c r="C44" s="51"/>
      <c r="D44" s="133"/>
      <c r="E44" s="50">
        <f>IF($D44&gt;0, $D44*VLOOKUP($B44,'Thông Tin Đồ Ăn'!$B$4:$G$304,3, FALSE)/100,0)</f>
        <v>0</v>
      </c>
      <c r="F44" s="50">
        <f>IF($D44&gt;0, $D44*VLOOKUP($B44,'Thông Tin Đồ Ăn'!$B$4:$G$304,4, FALSE)/100,0)</f>
        <v>0</v>
      </c>
      <c r="G44" s="50">
        <f>IF($D44&gt;0, $D44*VLOOKUP($B44,'Thông Tin Đồ Ăn'!$B$4:$G$304,5, FALSE)/100,0)</f>
        <v>0</v>
      </c>
      <c r="H44" s="130">
        <f>IF($D44&gt;0, $D44*VLOOKUP($B44,'Thông Tin Đồ Ăn'!$B$4:$G$304,6, FALSE)/100,0)</f>
        <v>0</v>
      </c>
      <c r="P44" s="36"/>
      <c r="Q44" s="36"/>
    </row>
    <row r="45" spans="1:17" ht="15.75" customHeight="1" x14ac:dyDescent="0.25">
      <c r="A45" s="123"/>
      <c r="B45" s="132"/>
      <c r="C45" s="51"/>
      <c r="D45" s="133"/>
      <c r="E45" s="50">
        <f>IF($D45&gt;0, $D45*VLOOKUP($B45,'Thông Tin Đồ Ăn'!$B$4:$G$304,3, FALSE)/100,0)</f>
        <v>0</v>
      </c>
      <c r="F45" s="50">
        <f>IF($D45&gt;0, $D45*VLOOKUP($B45,'Thông Tin Đồ Ăn'!$B$4:$G$304,4, FALSE)/100,0)</f>
        <v>0</v>
      </c>
      <c r="G45" s="50">
        <f>IF($D45&gt;0, $D45*VLOOKUP($B45,'Thông Tin Đồ Ăn'!$B$4:$G$304,5, FALSE)/100,0)</f>
        <v>0</v>
      </c>
      <c r="H45" s="130">
        <f>IF($D45&gt;0, $D45*VLOOKUP($B45,'Thông Tin Đồ Ăn'!$B$4:$G$304,6, FALSE)/100,0)</f>
        <v>0</v>
      </c>
      <c r="O45" s="35"/>
      <c r="P45" s="36"/>
      <c r="Q45" s="36"/>
    </row>
    <row r="46" spans="1:17" ht="15.75" customHeight="1" x14ac:dyDescent="0.25">
      <c r="A46" s="123"/>
      <c r="B46" s="132"/>
      <c r="C46" s="51"/>
      <c r="D46" s="133"/>
      <c r="E46" s="50">
        <f>IF($D46&gt;0, $D46*VLOOKUP($B46,'Thông Tin Đồ Ăn'!$B$4:$G$304,3, FALSE)/100,0)</f>
        <v>0</v>
      </c>
      <c r="F46" s="50">
        <f>IF($D46&gt;0, $D46*VLOOKUP($B46,'Thông Tin Đồ Ăn'!$B$4:$G$304,4, FALSE)/100,0)</f>
        <v>0</v>
      </c>
      <c r="G46" s="50">
        <f>IF($D46&gt;0, $D46*VLOOKUP($B46,'Thông Tin Đồ Ăn'!$B$4:$G$304,5, FALSE)/100,0)</f>
        <v>0</v>
      </c>
      <c r="H46" s="130">
        <f>IF($D46&gt;0, $D46*VLOOKUP($B46,'Thông Tin Đồ Ăn'!$B$4:$G$304,6, FALSE)/100,0)</f>
        <v>0</v>
      </c>
      <c r="O46" s="35"/>
      <c r="P46" s="36"/>
      <c r="Q46" s="36"/>
    </row>
    <row r="47" spans="1:17" ht="15.75" customHeight="1" x14ac:dyDescent="0.25">
      <c r="A47" s="123"/>
      <c r="B47" s="132"/>
      <c r="C47" s="51"/>
      <c r="D47" s="133"/>
      <c r="E47" s="50">
        <f>IF($D47&gt;0, $D47*VLOOKUP($B47,'Thông Tin Đồ Ăn'!$B$4:$G$304,3, FALSE)/100,0)</f>
        <v>0</v>
      </c>
      <c r="F47" s="50">
        <f>IF($D47&gt;0, $D47*VLOOKUP($B47,'Thông Tin Đồ Ăn'!$B$4:$G$304,4, FALSE)/100,0)</f>
        <v>0</v>
      </c>
      <c r="G47" s="50">
        <f>IF($D47&gt;0, $D47*VLOOKUP($B47,'Thông Tin Đồ Ăn'!$B$4:$G$304,5, FALSE)/100,0)</f>
        <v>0</v>
      </c>
      <c r="H47" s="130">
        <f>IF($D47&gt;0, $D47*VLOOKUP($B47,'Thông Tin Đồ Ăn'!$B$4:$G$304,6, FALSE)/100,0)</f>
        <v>0</v>
      </c>
      <c r="K47" s="32"/>
      <c r="L47" s="35"/>
      <c r="M47" s="35"/>
      <c r="N47" s="35"/>
      <c r="O47" s="55"/>
      <c r="P47" s="36"/>
      <c r="Q47" s="36"/>
    </row>
    <row r="48" spans="1:17" ht="15.75" customHeight="1" x14ac:dyDescent="0.25">
      <c r="A48" s="123"/>
      <c r="B48" s="132"/>
      <c r="C48" s="51"/>
      <c r="D48" s="133"/>
      <c r="E48" s="50">
        <f>IF($D48&gt;0, $D48*VLOOKUP($B48,'Thông Tin Đồ Ăn'!$B$4:$G$304,3, FALSE)/100,0)</f>
        <v>0</v>
      </c>
      <c r="F48" s="50">
        <f>IF($D48&gt;0, $D48*VLOOKUP($B48,'Thông Tin Đồ Ăn'!$B$4:$G$304,4, FALSE)/100,0)</f>
        <v>0</v>
      </c>
      <c r="G48" s="50">
        <f>IF($D48&gt;0, $D48*VLOOKUP($B48,'Thông Tin Đồ Ăn'!$B$4:$G$304,5, FALSE)/100,0)</f>
        <v>0</v>
      </c>
      <c r="H48" s="130">
        <f>IF($D48&gt;0, $D48*VLOOKUP($B48,'Thông Tin Đồ Ăn'!$B$4:$G$304,6, FALSE)/100,0)</f>
        <v>0</v>
      </c>
      <c r="K48" s="32"/>
      <c r="L48" s="35"/>
      <c r="M48" s="35"/>
      <c r="N48" s="35"/>
      <c r="O48" s="35"/>
      <c r="P48" s="36"/>
      <c r="Q48" s="36"/>
    </row>
    <row r="49" spans="1:17" ht="15.75" customHeight="1" x14ac:dyDescent="0.25">
      <c r="A49" s="123"/>
      <c r="B49" s="132"/>
      <c r="C49" s="51"/>
      <c r="D49" s="133"/>
      <c r="E49" s="50">
        <f>IF($D49&gt;0, $D49*VLOOKUP($B49,'Thông Tin Đồ Ăn'!$B$4:$G$304,3, FALSE)/100,0)</f>
        <v>0</v>
      </c>
      <c r="F49" s="50">
        <f>IF($D49&gt;0, $D49*VLOOKUP($B49,'Thông Tin Đồ Ăn'!$B$4:$G$304,4, FALSE)/100,0)</f>
        <v>0</v>
      </c>
      <c r="G49" s="50">
        <f>IF($D49&gt;0, $D49*VLOOKUP($B49,'Thông Tin Đồ Ăn'!$B$4:$G$304,5, FALSE)/100,0)</f>
        <v>0</v>
      </c>
      <c r="H49" s="130">
        <f>IF($D49&gt;0, $D49*VLOOKUP($B49,'Thông Tin Đồ Ăn'!$B$4:$G$304,6, FALSE)/100,0)</f>
        <v>0</v>
      </c>
      <c r="K49" s="32"/>
      <c r="L49" s="35"/>
      <c r="M49" s="35"/>
      <c r="N49" s="35"/>
      <c r="O49" s="35"/>
      <c r="P49" s="36"/>
      <c r="Q49" s="36"/>
    </row>
    <row r="50" spans="1:17" ht="15.75" customHeight="1" x14ac:dyDescent="0.25">
      <c r="A50" s="123"/>
      <c r="B50" s="132"/>
      <c r="C50" s="51"/>
      <c r="D50" s="133"/>
      <c r="E50" s="50">
        <f>IF($D50&gt;0, $D50*VLOOKUP($B50,'Thông Tin Đồ Ăn'!$B$4:$G$304,3, FALSE)/100,0)</f>
        <v>0</v>
      </c>
      <c r="F50" s="50">
        <f>IF($D50&gt;0, $D50*VLOOKUP($B50,'Thông Tin Đồ Ăn'!$B$4:$G$304,4, FALSE)/100,0)</f>
        <v>0</v>
      </c>
      <c r="G50" s="50">
        <f>IF($D50&gt;0, $D50*VLOOKUP($B50,'Thông Tin Đồ Ăn'!$B$4:$G$304,5, FALSE)/100,0)</f>
        <v>0</v>
      </c>
      <c r="H50" s="130">
        <f>IF($D50&gt;0, $D50*VLOOKUP($B50,'Thông Tin Đồ Ăn'!$B$4:$G$304,6, FALSE)/100,0)</f>
        <v>0</v>
      </c>
      <c r="L50" s="35"/>
      <c r="M50" s="35"/>
      <c r="N50" s="35"/>
      <c r="O50" s="36"/>
      <c r="P50" s="36"/>
      <c r="Q50" s="36"/>
    </row>
    <row r="51" spans="1:17" ht="15.75" customHeight="1" x14ac:dyDescent="0.25">
      <c r="A51" s="123"/>
      <c r="B51" s="132"/>
      <c r="C51" s="51"/>
      <c r="D51" s="133"/>
      <c r="E51" s="50">
        <f>IF($D51&gt;0, $D51*VLOOKUP($B51,'Thông Tin Đồ Ăn'!$B$4:$G$304,3, FALSE)/100,0)</f>
        <v>0</v>
      </c>
      <c r="F51" s="50">
        <f>IF($D51&gt;0, $D51*VLOOKUP($B51,'Thông Tin Đồ Ăn'!$B$4:$G$304,4, FALSE)/100,0)</f>
        <v>0</v>
      </c>
      <c r="G51" s="50">
        <f>IF($D51&gt;0, $D51*VLOOKUP($B51,'Thông Tin Đồ Ăn'!$B$4:$G$304,5, FALSE)/100,0)</f>
        <v>0</v>
      </c>
      <c r="H51" s="130">
        <f>IF($D51&gt;0, $D51*VLOOKUP($B51,'Thông Tin Đồ Ăn'!$B$4:$G$304,6, FALSE)/100,0)</f>
        <v>0</v>
      </c>
      <c r="L51" s="35"/>
      <c r="M51" s="35"/>
      <c r="N51" s="35"/>
      <c r="O51" s="35"/>
      <c r="P51" s="36"/>
      <c r="Q51" s="36"/>
    </row>
    <row r="52" spans="1:17" ht="15.75" customHeight="1" x14ac:dyDescent="0.25">
      <c r="A52" s="123"/>
      <c r="B52" s="132"/>
      <c r="C52" s="51"/>
      <c r="D52" s="133"/>
      <c r="E52" s="50">
        <f>IF($D52&gt;0, $D52*VLOOKUP($B52,'Thông Tin Đồ Ăn'!$B$4:$G$304,3, FALSE)/100,0)</f>
        <v>0</v>
      </c>
      <c r="F52" s="50">
        <f>IF($D52&gt;0, $D52*VLOOKUP($B52,'Thông Tin Đồ Ăn'!$B$4:$G$304,4, FALSE)/100,0)</f>
        <v>0</v>
      </c>
      <c r="G52" s="50">
        <f>IF($D52&gt;0, $D52*VLOOKUP($B52,'Thông Tin Đồ Ăn'!$B$4:$G$304,5, FALSE)/100,0)</f>
        <v>0</v>
      </c>
      <c r="H52" s="130">
        <f>IF($D52&gt;0, $D52*VLOOKUP($B52,'Thông Tin Đồ Ăn'!$B$4:$G$304,6, FALSE)/100,0)</f>
        <v>0</v>
      </c>
      <c r="L52" s="35"/>
    </row>
    <row r="53" spans="1:17" ht="15.75" customHeight="1" x14ac:dyDescent="0.25">
      <c r="A53" s="123"/>
      <c r="B53" s="132"/>
      <c r="C53" s="51"/>
      <c r="D53" s="133"/>
      <c r="E53" s="50">
        <f>IF($D53&gt;0, $D53*VLOOKUP($B53,'Thông Tin Đồ Ăn'!$B$4:$G$304,3, FALSE)/100,0)</f>
        <v>0</v>
      </c>
      <c r="F53" s="50">
        <f>IF($D53&gt;0, $D53*VLOOKUP($B53,'Thông Tin Đồ Ăn'!$B$4:$G$304,4, FALSE)/100,0)</f>
        <v>0</v>
      </c>
      <c r="G53" s="50">
        <f>IF($D53&gt;0, $D53*VLOOKUP($B53,'Thông Tin Đồ Ăn'!$B$4:$G$304,5, FALSE)/100,0)</f>
        <v>0</v>
      </c>
      <c r="H53" s="130">
        <f>IF($D53&gt;0, $D53*VLOOKUP($B53,'Thông Tin Đồ Ăn'!$B$4:$G$304,6, FALSE)/100,0)</f>
        <v>0</v>
      </c>
      <c r="L53" s="35"/>
    </row>
    <row r="54" spans="1:17" ht="15.75" customHeight="1" x14ac:dyDescent="0.25">
      <c r="A54" s="123"/>
      <c r="B54" s="132"/>
      <c r="C54" s="51"/>
      <c r="D54" s="133"/>
      <c r="E54" s="50">
        <f>IF($D54&gt;0, $D54*VLOOKUP($B54,'Thông Tin Đồ Ăn'!$B$4:$G$304,3, FALSE)/100,0)</f>
        <v>0</v>
      </c>
      <c r="F54" s="50">
        <f>IF($D54&gt;0, $D54*VLOOKUP($B54,'Thông Tin Đồ Ăn'!$B$4:$G$304,4, FALSE)/100,0)</f>
        <v>0</v>
      </c>
      <c r="G54" s="50">
        <f>IF($D54&gt;0, $D54*VLOOKUP($B54,'Thông Tin Đồ Ăn'!$B$4:$G$304,5, FALSE)/100,0)</f>
        <v>0</v>
      </c>
      <c r="H54" s="130">
        <f>IF($D54&gt;0, $D54*VLOOKUP($B54,'Thông Tin Đồ Ăn'!$B$4:$G$304,6, FALSE)/100,0)</f>
        <v>0</v>
      </c>
      <c r="L54" s="35"/>
    </row>
    <row r="55" spans="1:17" ht="15.75" customHeight="1" x14ac:dyDescent="0.25">
      <c r="A55" s="123"/>
      <c r="B55" s="132"/>
      <c r="C55" s="51"/>
      <c r="D55" s="133"/>
      <c r="E55" s="50">
        <f>IF($D55&gt;0, $D55*VLOOKUP($B55,'Thông Tin Đồ Ăn'!$B$4:$G$304,3, FALSE)/100,0)</f>
        <v>0</v>
      </c>
      <c r="F55" s="50">
        <f>IF($D55&gt;0, $D55*VLOOKUP($B55,'Thông Tin Đồ Ăn'!$B$4:$G$304,4, FALSE)/100,0)</f>
        <v>0</v>
      </c>
      <c r="G55" s="50">
        <f>IF($D55&gt;0, $D55*VLOOKUP($B55,'Thông Tin Đồ Ăn'!$B$4:$G$304,5, FALSE)/100,0)</f>
        <v>0</v>
      </c>
      <c r="H55" s="130">
        <f>IF($D55&gt;0, $D55*VLOOKUP($B55,'Thông Tin Đồ Ăn'!$B$4:$G$304,6, FALSE)/100,0)</f>
        <v>0</v>
      </c>
      <c r="K55" s="32"/>
      <c r="L55" s="35"/>
      <c r="M55" s="35"/>
      <c r="N55" s="35"/>
      <c r="O55" s="36"/>
      <c r="P55" s="36"/>
      <c r="Q55" s="36"/>
    </row>
    <row r="56" spans="1:17" ht="15.75" customHeight="1" x14ac:dyDescent="0.25">
      <c r="A56" s="123"/>
      <c r="B56" s="132"/>
      <c r="C56" s="51"/>
      <c r="D56" s="133"/>
      <c r="E56" s="50">
        <f>IF($D56&gt;0, $D56*VLOOKUP($B56,'Thông Tin Đồ Ăn'!$B$4:$G$304,3, FALSE)/100,0)</f>
        <v>0</v>
      </c>
      <c r="F56" s="50">
        <f>IF($D56&gt;0, $D56*VLOOKUP($B56,'Thông Tin Đồ Ăn'!$B$4:$G$304,4, FALSE)/100,0)</f>
        <v>0</v>
      </c>
      <c r="G56" s="50">
        <f>IF($D56&gt;0, $D56*VLOOKUP($B56,'Thông Tin Đồ Ăn'!$B$4:$G$304,5, FALSE)/100,0)</f>
        <v>0</v>
      </c>
      <c r="H56" s="130">
        <f>IF($D56&gt;0, $D56*VLOOKUP($B56,'Thông Tin Đồ Ăn'!$B$4:$G$304,6, FALSE)/100,0)</f>
        <v>0</v>
      </c>
      <c r="K56" s="32"/>
      <c r="L56" s="35"/>
      <c r="M56" s="35"/>
      <c r="N56" s="35"/>
      <c r="O56" s="35"/>
      <c r="P56" s="36"/>
    </row>
    <row r="57" spans="1:17" ht="15.75" customHeight="1" x14ac:dyDescent="0.25">
      <c r="A57" s="123"/>
      <c r="B57" s="132"/>
      <c r="C57" s="51"/>
      <c r="D57" s="133"/>
      <c r="E57" s="50">
        <f>IF($D57&gt;0, $D57*VLOOKUP($B57,'Thông Tin Đồ Ăn'!$B$4:$G$304,3, FALSE)/100,0)</f>
        <v>0</v>
      </c>
      <c r="F57" s="50">
        <f>IF($D57&gt;0, $D57*VLOOKUP($B57,'Thông Tin Đồ Ăn'!$B$4:$G$304,4, FALSE)/100,0)</f>
        <v>0</v>
      </c>
      <c r="G57" s="50">
        <f>IF($D57&gt;0, $D57*VLOOKUP($B57,'Thông Tin Đồ Ăn'!$B$4:$G$304,5, FALSE)/100,0)</f>
        <v>0</v>
      </c>
      <c r="H57" s="130">
        <f>IF($D57&gt;0, $D57*VLOOKUP($B57,'Thông Tin Đồ Ăn'!$B$4:$G$304,6, FALSE)/100,0)</f>
        <v>0</v>
      </c>
      <c r="L57" s="35"/>
      <c r="P57" s="36"/>
    </row>
    <row r="58" spans="1:17" ht="15.75" customHeight="1" x14ac:dyDescent="0.25">
      <c r="A58" s="123"/>
      <c r="B58" s="132"/>
      <c r="C58" s="51"/>
      <c r="D58" s="133"/>
      <c r="E58" s="50">
        <f>IF($D58&gt;0, $D58*VLOOKUP($B58,'Thông Tin Đồ Ăn'!$B$4:$G$304,3, FALSE)/100,0)</f>
        <v>0</v>
      </c>
      <c r="F58" s="50">
        <f>IF($D58&gt;0, $D58*VLOOKUP($B58,'Thông Tin Đồ Ăn'!$B$4:$G$304,4, FALSE)/100,0)</f>
        <v>0</v>
      </c>
      <c r="G58" s="50">
        <f>IF($D58&gt;0, $D58*VLOOKUP($B58,'Thông Tin Đồ Ăn'!$B$4:$G$304,5, FALSE)/100,0)</f>
        <v>0</v>
      </c>
      <c r="H58" s="130">
        <f>IF($D58&gt;0, $D58*VLOOKUP($B58,'Thông Tin Đồ Ăn'!$B$4:$G$304,6, FALSE)/100,0)</f>
        <v>0</v>
      </c>
      <c r="K58" s="32"/>
      <c r="L58" s="35"/>
      <c r="M58" s="35"/>
      <c r="N58" s="35"/>
      <c r="O58" s="55"/>
      <c r="P58" s="36"/>
    </row>
    <row r="59" spans="1:17" ht="15.75" customHeight="1" x14ac:dyDescent="0.25">
      <c r="A59" s="123"/>
      <c r="B59" s="132"/>
      <c r="C59" s="51"/>
      <c r="D59" s="133"/>
      <c r="E59" s="50">
        <f>IF($D59&gt;0, $D59*VLOOKUP($B59,'Thông Tin Đồ Ăn'!$B$4:$G$304,3, FALSE)/100,0)</f>
        <v>0</v>
      </c>
      <c r="F59" s="50">
        <f>IF($D59&gt;0, $D59*VLOOKUP($B59,'Thông Tin Đồ Ăn'!$B$4:$G$304,4, FALSE)/100,0)</f>
        <v>0</v>
      </c>
      <c r="G59" s="50">
        <f>IF($D59&gt;0, $D59*VLOOKUP($B59,'Thông Tin Đồ Ăn'!$B$4:$G$304,5, FALSE)/100,0)</f>
        <v>0</v>
      </c>
      <c r="H59" s="130">
        <f>IF($D59&gt;0, $D59*VLOOKUP($B59,'Thông Tin Đồ Ăn'!$B$4:$G$304,6, FALSE)/100,0)</f>
        <v>0</v>
      </c>
      <c r="P59" s="36"/>
    </row>
    <row r="60" spans="1:17" ht="15.75" customHeight="1" x14ac:dyDescent="0.25">
      <c r="A60" s="123"/>
      <c r="B60" s="132"/>
      <c r="C60" s="51"/>
      <c r="D60" s="133"/>
      <c r="E60" s="50">
        <f>IF($D60&gt;0, $D60*VLOOKUP($B60,'Thông Tin Đồ Ăn'!$B$4:$G$304,3, FALSE)/100,0)</f>
        <v>0</v>
      </c>
      <c r="F60" s="50">
        <f>IF($D60&gt;0, $D60*VLOOKUP($B60,'Thông Tin Đồ Ăn'!$B$4:$G$304,4, FALSE)/100,0)</f>
        <v>0</v>
      </c>
      <c r="G60" s="50">
        <f>IF($D60&gt;0, $D60*VLOOKUP($B60,'Thông Tin Đồ Ăn'!$B$4:$G$304,5, FALSE)/100,0)</f>
        <v>0</v>
      </c>
      <c r="H60" s="130">
        <f>IF($D60&gt;0, $D60*VLOOKUP($B60,'Thông Tin Đồ Ăn'!$B$4:$G$304,6, FALSE)/100,0)</f>
        <v>0</v>
      </c>
    </row>
    <row r="61" spans="1:17" ht="15.75" customHeight="1" x14ac:dyDescent="0.25">
      <c r="A61" s="123"/>
      <c r="B61" s="132"/>
      <c r="C61" s="51"/>
      <c r="D61" s="133"/>
      <c r="E61" s="50">
        <f>IF($D61&gt;0, $D61*VLOOKUP($B61,'Thông Tin Đồ Ăn'!$B$4:$G$304,3, FALSE)/100,0)</f>
        <v>0</v>
      </c>
      <c r="F61" s="50">
        <f>IF($D61&gt;0, $D61*VLOOKUP($B61,'Thông Tin Đồ Ăn'!$B$4:$G$304,4, FALSE)/100,0)</f>
        <v>0</v>
      </c>
      <c r="G61" s="50">
        <f>IF($D61&gt;0, $D61*VLOOKUP($B61,'Thông Tin Đồ Ăn'!$B$4:$G$304,5, FALSE)/100,0)</f>
        <v>0</v>
      </c>
      <c r="H61" s="130">
        <f>IF($D61&gt;0, $D61*VLOOKUP($B61,'Thông Tin Đồ Ăn'!$B$4:$G$304,6, FALSE)/100,0)</f>
        <v>0</v>
      </c>
    </row>
    <row r="62" spans="1:17" ht="15.75" customHeight="1" x14ac:dyDescent="0.25">
      <c r="A62" s="123"/>
      <c r="B62" s="132"/>
      <c r="C62" s="51"/>
      <c r="D62" s="133"/>
      <c r="E62" s="50">
        <f>IF($D62&gt;0, $D62*VLOOKUP($B62,'Thông Tin Đồ Ăn'!$B$4:$G$304,3, FALSE)/100,0)</f>
        <v>0</v>
      </c>
      <c r="F62" s="50">
        <f>IF($D62&gt;0, $D62*VLOOKUP($B62,'Thông Tin Đồ Ăn'!$B$4:$G$304,4, FALSE)/100,0)</f>
        <v>0</v>
      </c>
      <c r="G62" s="50">
        <f>IF($D62&gt;0, $D62*VLOOKUP($B62,'Thông Tin Đồ Ăn'!$B$4:$G$304,5, FALSE)/100,0)</f>
        <v>0</v>
      </c>
      <c r="H62" s="130">
        <f>IF($D62&gt;0, $D62*VLOOKUP($B62,'Thông Tin Đồ Ăn'!$B$4:$G$304,6, FALSE)/100,0)</f>
        <v>0</v>
      </c>
    </row>
    <row r="63" spans="1:17" ht="15.75" customHeight="1" x14ac:dyDescent="0.25">
      <c r="A63" s="123"/>
      <c r="B63" s="132"/>
      <c r="C63" s="51"/>
      <c r="D63" s="133"/>
      <c r="E63" s="50">
        <f>IF($D63&gt;0, $D63*VLOOKUP($B63,'Thông Tin Đồ Ăn'!$B$4:$G$304,3, FALSE)/100,0)</f>
        <v>0</v>
      </c>
      <c r="F63" s="50">
        <f>IF($D63&gt;0, $D63*VLOOKUP($B63,'Thông Tin Đồ Ăn'!$B$4:$G$304,4, FALSE)/100,0)</f>
        <v>0</v>
      </c>
      <c r="G63" s="50">
        <f>IF($D63&gt;0, $D63*VLOOKUP($B63,'Thông Tin Đồ Ăn'!$B$4:$G$304,5, FALSE)/100,0)</f>
        <v>0</v>
      </c>
      <c r="H63" s="130">
        <f>IF($D63&gt;0, $D63*VLOOKUP($B63,'Thông Tin Đồ Ăn'!$B$4:$G$304,6, FALSE)/100,0)</f>
        <v>0</v>
      </c>
    </row>
    <row r="64" spans="1:17" ht="15.75" customHeight="1" x14ac:dyDescent="0.25">
      <c r="A64" s="123"/>
      <c r="B64" s="132"/>
      <c r="C64" s="51"/>
      <c r="D64" s="133"/>
      <c r="E64" s="50">
        <f>IF($D64&gt;0, $D64*VLOOKUP($B64,'Thông Tin Đồ Ăn'!$B$4:$G$304,3, FALSE)/100,0)</f>
        <v>0</v>
      </c>
      <c r="F64" s="50">
        <f>IF($D64&gt;0, $D64*VLOOKUP($B64,'Thông Tin Đồ Ăn'!$B$4:$G$304,4, FALSE)/100,0)</f>
        <v>0</v>
      </c>
      <c r="G64" s="50">
        <f>IF($D64&gt;0, $D64*VLOOKUP($B64,'Thông Tin Đồ Ăn'!$B$4:$G$304,5, FALSE)/100,0)</f>
        <v>0</v>
      </c>
      <c r="H64" s="130">
        <f>IF($D64&gt;0, $D64*VLOOKUP($B64,'Thông Tin Đồ Ăn'!$B$4:$G$304,6, FALSE)/100,0)</f>
        <v>0</v>
      </c>
    </row>
    <row r="65" spans="1:10" ht="15.75" customHeight="1" x14ac:dyDescent="0.25">
      <c r="A65" s="86"/>
      <c r="B65" s="132"/>
      <c r="C65" s="51"/>
      <c r="D65" s="133"/>
      <c r="E65" s="50">
        <f>IF($D65&gt;0, $D65*VLOOKUP($B65,'Thông Tin Đồ Ăn'!$B$4:$G$304,3, FALSE)/100,0)</f>
        <v>0</v>
      </c>
      <c r="F65" s="50">
        <f>IF($D65&gt;0, $D65*VLOOKUP($B65,'Thông Tin Đồ Ăn'!$B$4:$G$304,4, FALSE)/100,0)</f>
        <v>0</v>
      </c>
      <c r="G65" s="50">
        <f>IF($D65&gt;0, $D65*VLOOKUP($B65,'Thông Tin Đồ Ăn'!$B$4:$G$304,5, FALSE)/100,0)</f>
        <v>0</v>
      </c>
      <c r="H65" s="130">
        <f>IF($D65&gt;0, $D65*VLOOKUP($B65,'Thông Tin Đồ Ăn'!$B$4:$G$304,6, FALSE)/100,0)</f>
        <v>0</v>
      </c>
    </row>
    <row r="66" spans="1:10" ht="15.75" customHeight="1" x14ac:dyDescent="0.25">
      <c r="A66" s="86"/>
      <c r="B66" s="132"/>
      <c r="C66" s="51"/>
      <c r="D66" s="133"/>
      <c r="E66" s="50">
        <f>IF($D66&gt;0, $D66*VLOOKUP($B66,'Thông Tin Đồ Ăn'!$B$4:$G$304,3, FALSE)/100,0)</f>
        <v>0</v>
      </c>
      <c r="F66" s="50">
        <f>IF($D66&gt;0, $D66*VLOOKUP($B66,'Thông Tin Đồ Ăn'!$B$4:$G$304,4, FALSE)/100,0)</f>
        <v>0</v>
      </c>
      <c r="G66" s="50">
        <f>IF($D66&gt;0, $D66*VLOOKUP($B66,'Thông Tin Đồ Ăn'!$B$4:$G$304,5, FALSE)/100,0)</f>
        <v>0</v>
      </c>
      <c r="H66" s="130">
        <f>IF($D66&gt;0, $D66*VLOOKUP($B66,'Thông Tin Đồ Ăn'!$B$4:$G$304,6, FALSE)/100,0)</f>
        <v>0</v>
      </c>
    </row>
    <row r="67" spans="1:10" ht="15.75" customHeight="1" x14ac:dyDescent="0.25">
      <c r="A67" s="86"/>
      <c r="B67" s="132"/>
      <c r="C67" s="51"/>
      <c r="D67" s="133"/>
      <c r="E67" s="50">
        <f>IF($D67&gt;0, $D67*VLOOKUP($B67,'Thông Tin Đồ Ăn'!$B$4:$G$304,3, FALSE)/100,0)</f>
        <v>0</v>
      </c>
      <c r="F67" s="50">
        <f>IF($D67&gt;0, $D67*VLOOKUP($B67,'Thông Tin Đồ Ăn'!$B$4:$G$304,4, FALSE)/100,0)</f>
        <v>0</v>
      </c>
      <c r="G67" s="50">
        <f>IF($D67&gt;0, $D67*VLOOKUP($B67,'Thông Tin Đồ Ăn'!$B$4:$G$304,5, FALSE)/100,0)</f>
        <v>0</v>
      </c>
      <c r="H67" s="130">
        <f>IF($D67&gt;0, $D67*VLOOKUP($B67,'Thông Tin Đồ Ăn'!$B$4:$G$304,6, FALSE)/100,0)</f>
        <v>0</v>
      </c>
    </row>
    <row r="68" spans="1:10" ht="15.75" customHeight="1" x14ac:dyDescent="0.25">
      <c r="A68" s="86"/>
      <c r="B68" s="132"/>
      <c r="C68" s="51"/>
      <c r="D68" s="133"/>
      <c r="E68" s="50">
        <f>IF($D68&gt;0, $D68*VLOOKUP($B68,'Thông Tin Đồ Ăn'!$B$4:$G$304,3, FALSE)/100,0)</f>
        <v>0</v>
      </c>
      <c r="F68" s="50">
        <f>IF($D68&gt;0, $D68*VLOOKUP($B68,'Thông Tin Đồ Ăn'!$B$4:$G$304,4, FALSE)/100,0)</f>
        <v>0</v>
      </c>
      <c r="G68" s="50">
        <f>IF($D68&gt;0, $D68*VLOOKUP($B68,'Thông Tin Đồ Ăn'!$B$4:$G$304,5, FALSE)/100,0)</f>
        <v>0</v>
      </c>
      <c r="H68" s="130">
        <f>IF($D68&gt;0, $D68*VLOOKUP($B68,'Thông Tin Đồ Ăn'!$B$4:$G$304,6, FALSE)/100,0)</f>
        <v>0</v>
      </c>
    </row>
    <row r="69" spans="1:10" ht="15.75" customHeight="1" x14ac:dyDescent="0.25">
      <c r="A69" s="33"/>
      <c r="B69" s="132"/>
      <c r="C69" s="51"/>
      <c r="D69" s="133"/>
      <c r="E69" s="50">
        <f>IF($D69&gt;0, $D69*VLOOKUP($B69,'Thông Tin Đồ Ăn'!$B$4:$G$304,3, FALSE)/100,0)</f>
        <v>0</v>
      </c>
      <c r="F69" s="50">
        <f>IF($D69&gt;0, $D69*VLOOKUP($B69,'Thông Tin Đồ Ăn'!$B$4:$G$304,4, FALSE)/100,0)</f>
        <v>0</v>
      </c>
      <c r="G69" s="50">
        <f>IF($D69&gt;0, $D69*VLOOKUP($B69,'Thông Tin Đồ Ăn'!$B$4:$G$304,5, FALSE)/100,0)</f>
        <v>0</v>
      </c>
      <c r="H69" s="130">
        <f>IF($D69&gt;0, $D69*VLOOKUP($B69,'Thông Tin Đồ Ăn'!$B$4:$G$304,6, FALSE)/100,0)</f>
        <v>0</v>
      </c>
    </row>
    <row r="70" spans="1:10" ht="15.75" customHeight="1" x14ac:dyDescent="0.25">
      <c r="A70" s="33"/>
      <c r="B70" s="132"/>
      <c r="C70" s="51"/>
      <c r="D70" s="133"/>
      <c r="E70" s="50">
        <f>IF($D70&gt;0, $D70*VLOOKUP($B70,'Thông Tin Đồ Ăn'!$B$4:$G$304,3, FALSE)/100,0)</f>
        <v>0</v>
      </c>
      <c r="F70" s="50">
        <f>IF($D70&gt;0, $D70*VLOOKUP($B70,'Thông Tin Đồ Ăn'!$B$4:$G$304,4, FALSE)/100,0)</f>
        <v>0</v>
      </c>
      <c r="G70" s="50">
        <f>IF($D70&gt;0, $D70*VLOOKUP($B70,'Thông Tin Đồ Ăn'!$B$4:$G$304,5, FALSE)/100,0)</f>
        <v>0</v>
      </c>
      <c r="H70" s="130">
        <f>IF($D70&gt;0, $D70*VLOOKUP($B70,'Thông Tin Đồ Ăn'!$B$4:$G$304,6, FALSE)/100,0)</f>
        <v>0</v>
      </c>
    </row>
    <row r="71" spans="1:10" ht="15.75" customHeight="1" x14ac:dyDescent="0.25">
      <c r="A71" s="33"/>
      <c r="B71" s="132"/>
      <c r="C71" s="51"/>
      <c r="D71" s="133"/>
      <c r="E71" s="50">
        <f>IF($D71&gt;0, $D71*VLOOKUP($B71,'Thông Tin Đồ Ăn'!$B$4:$G$304,3, FALSE)/100,0)</f>
        <v>0</v>
      </c>
      <c r="F71" s="50">
        <f>IF($D71&gt;0, $D71*VLOOKUP($B71,'Thông Tin Đồ Ăn'!$B$4:$G$304,4, FALSE)/100,0)</f>
        <v>0</v>
      </c>
      <c r="G71" s="50">
        <f>IF($D71&gt;0, $D71*VLOOKUP($B71,'Thông Tin Đồ Ăn'!$B$4:$G$304,5, FALSE)/100,0)</f>
        <v>0</v>
      </c>
      <c r="H71" s="130">
        <f>IF($D71&gt;0, $D71*VLOOKUP($B71,'Thông Tin Đồ Ăn'!$B$4:$G$304,6, FALSE)/100,0)</f>
        <v>0</v>
      </c>
    </row>
    <row r="72" spans="1:10" ht="15.75" customHeight="1" x14ac:dyDescent="0.25">
      <c r="A72" s="56"/>
      <c r="B72" s="132"/>
      <c r="C72" s="51"/>
      <c r="D72" s="133"/>
      <c r="E72" s="50">
        <f>IF($D72&gt;0, $D72*VLOOKUP($B72,'Thông Tin Đồ Ăn'!$B$4:$G$304,3, FALSE)/100,0)</f>
        <v>0</v>
      </c>
      <c r="F72" s="50">
        <f>IF($D72&gt;0, $D72*VLOOKUP($B72,'Thông Tin Đồ Ăn'!$B$4:$G$304,4, FALSE)/100,0)</f>
        <v>0</v>
      </c>
      <c r="G72" s="50">
        <f>IF($D72&gt;0, $D72*VLOOKUP($B72,'Thông Tin Đồ Ăn'!$B$4:$G$304,5, FALSE)/100,0)</f>
        <v>0</v>
      </c>
      <c r="H72" s="130">
        <f>IF($D72&gt;0, $D72*VLOOKUP($B72,'Thông Tin Đồ Ăn'!$B$4:$G$304,6, FALSE)/100,0)</f>
        <v>0</v>
      </c>
    </row>
    <row r="73" spans="1:10" ht="15.75" customHeight="1" x14ac:dyDescent="0.25">
      <c r="A73" s="56"/>
      <c r="B73" s="132"/>
      <c r="C73" s="51"/>
      <c r="D73" s="133"/>
      <c r="E73" s="50">
        <f>IF($D73&gt;0, $D73*VLOOKUP($B73,'Thông Tin Đồ Ăn'!$B$4:$G$304,3, FALSE)/100,0)</f>
        <v>0</v>
      </c>
      <c r="F73" s="50">
        <f>IF($D73&gt;0, $D73*VLOOKUP($B73,'Thông Tin Đồ Ăn'!$B$4:$G$304,4, FALSE)/100,0)</f>
        <v>0</v>
      </c>
      <c r="G73" s="50">
        <f>IF($D73&gt;0, $D73*VLOOKUP($B73,'Thông Tin Đồ Ăn'!$B$4:$G$304,5, FALSE)/100,0)</f>
        <v>0</v>
      </c>
      <c r="H73" s="130">
        <f>IF($D73&gt;0, $D73*VLOOKUP($B73,'Thông Tin Đồ Ăn'!$B$4:$G$304,6, FALSE)/100,0)</f>
        <v>0</v>
      </c>
    </row>
    <row r="74" spans="1:10" ht="15.75" customHeight="1" x14ac:dyDescent="0.25">
      <c r="A74" s="56"/>
      <c r="B74" s="132"/>
      <c r="C74" s="51"/>
      <c r="D74" s="133"/>
      <c r="E74" s="50">
        <f>IF($D74&gt;0, $D74*VLOOKUP($B74,'Thông Tin Đồ Ăn'!$B$4:$G$304,3, FALSE)/100,0)</f>
        <v>0</v>
      </c>
      <c r="F74" s="50">
        <f>IF($D74&gt;0, $D74*VLOOKUP($B74,'Thông Tin Đồ Ăn'!$B$4:$G$304,4, FALSE)/100,0)</f>
        <v>0</v>
      </c>
      <c r="G74" s="50">
        <f>IF($D74&gt;0, $D74*VLOOKUP($B74,'Thông Tin Đồ Ăn'!$B$4:$G$304,5, FALSE)/100,0)</f>
        <v>0</v>
      </c>
      <c r="H74" s="130">
        <f>IF($D74&gt;0, $D74*VLOOKUP($B74,'Thông Tin Đồ Ăn'!$B$4:$G$304,6, FALSE)/100,0)</f>
        <v>0</v>
      </c>
    </row>
    <row r="75" spans="1:10" ht="15.75" customHeight="1" x14ac:dyDescent="0.25">
      <c r="A75" s="56"/>
      <c r="B75" s="132"/>
      <c r="C75" s="51"/>
      <c r="D75" s="133"/>
      <c r="E75" s="50">
        <f>IF($D75&gt;0, $D75*VLOOKUP($B75,'Thông Tin Đồ Ăn'!$B$4:$G$304,3, FALSE)/100,0)</f>
        <v>0</v>
      </c>
      <c r="F75" s="50">
        <f>IF($D75&gt;0, $D75*VLOOKUP($B75,'Thông Tin Đồ Ăn'!$B$4:$G$304,4, FALSE)/100,0)</f>
        <v>0</v>
      </c>
      <c r="G75" s="50">
        <f>IF($D75&gt;0, $D75*VLOOKUP($B75,'Thông Tin Đồ Ăn'!$B$4:$G$304,5, FALSE)/100,0)</f>
        <v>0</v>
      </c>
      <c r="H75" s="130">
        <f>IF($D75&gt;0, $D75*VLOOKUP($B75,'Thông Tin Đồ Ăn'!$B$4:$G$304,6, FALSE)/100,0)</f>
        <v>0</v>
      </c>
    </row>
    <row r="76" spans="1:10" ht="15.75" customHeight="1" x14ac:dyDescent="0.25">
      <c r="A76" s="56"/>
      <c r="B76" s="132"/>
      <c r="C76" s="51"/>
      <c r="D76" s="133"/>
      <c r="E76" s="50">
        <f>IF($D76&gt;0, $D76*VLOOKUP($B76,'Thông Tin Đồ Ăn'!$B$4:$G$304,3, FALSE)/100,0)</f>
        <v>0</v>
      </c>
      <c r="F76" s="50">
        <f>IF($D76&gt;0, $D76*VLOOKUP($B76,'Thông Tin Đồ Ăn'!$B$4:$G$304,4, FALSE)/100,0)</f>
        <v>0</v>
      </c>
      <c r="G76" s="50">
        <f>IF($D76&gt;0, $D76*VLOOKUP($B76,'Thông Tin Đồ Ăn'!$B$4:$G$304,5, FALSE)/100,0)</f>
        <v>0</v>
      </c>
      <c r="H76" s="130">
        <f>IF($D76&gt;0, $D76*VLOOKUP($B76,'Thông Tin Đồ Ăn'!$B$4:$G$304,6, FALSE)/100,0)</f>
        <v>0</v>
      </c>
    </row>
    <row r="77" spans="1:10" ht="15.75" customHeight="1" x14ac:dyDescent="0.25">
      <c r="A77" s="56"/>
      <c r="B77" s="132"/>
      <c r="C77" s="51"/>
      <c r="D77" s="133"/>
      <c r="E77" s="50">
        <f>IF($D77&gt;0, $D77*VLOOKUP($B77,'Thông Tin Đồ Ăn'!$B$4:$G$304,3, FALSE)/100,0)</f>
        <v>0</v>
      </c>
      <c r="F77" s="50">
        <f>IF($D77&gt;0, $D77*VLOOKUP($B77,'Thông Tin Đồ Ăn'!$B$4:$G$304,4, FALSE)/100,0)</f>
        <v>0</v>
      </c>
      <c r="G77" s="50">
        <f>IF($D77&gt;0, $D77*VLOOKUP($B77,'Thông Tin Đồ Ăn'!$B$4:$G$304,5, FALSE)/100,0)</f>
        <v>0</v>
      </c>
      <c r="H77" s="130">
        <f>IF($D77&gt;0, $D77*VLOOKUP($B77,'Thông Tin Đồ Ăn'!$B$4:$G$304,6, FALSE)/100,0)</f>
        <v>0</v>
      </c>
    </row>
    <row r="78" spans="1:10" ht="15.75" customHeight="1" x14ac:dyDescent="0.25">
      <c r="A78" s="56"/>
      <c r="B78" s="132"/>
      <c r="C78" s="51"/>
      <c r="D78" s="133"/>
      <c r="E78" s="50">
        <f>IF($D78&gt;0, $D78*VLOOKUP($B78,'Thông Tin Đồ Ăn'!$B$4:$G$304,3, FALSE)/100,0)</f>
        <v>0</v>
      </c>
      <c r="F78" s="50">
        <f>IF($D78&gt;0, $D78*VLOOKUP($B78,'Thông Tin Đồ Ăn'!$B$4:$G$304,4, FALSE)/100,0)</f>
        <v>0</v>
      </c>
      <c r="G78" s="50">
        <f>IF($D78&gt;0, $D78*VLOOKUP($B78,'Thông Tin Đồ Ăn'!$B$4:$G$304,5, FALSE)/100,0)</f>
        <v>0</v>
      </c>
      <c r="H78" s="130">
        <f>IF($D78&gt;0, $D78*VLOOKUP($B78,'Thông Tin Đồ Ăn'!$B$4:$G$304,6, FALSE)/100,0)</f>
        <v>0</v>
      </c>
    </row>
    <row r="79" spans="1:10" ht="15.75" customHeight="1" x14ac:dyDescent="0.25">
      <c r="A79" s="56"/>
      <c r="B79" s="132"/>
      <c r="C79" s="51"/>
      <c r="D79" s="133"/>
      <c r="E79" s="50">
        <f>IF($D79&gt;0, $D79*VLOOKUP($B79,'Thông Tin Đồ Ăn'!$B$4:$G$304,3, FALSE)/100,0)</f>
        <v>0</v>
      </c>
      <c r="F79" s="50">
        <f>IF($D79&gt;0, $D79*VLOOKUP($B79,'Thông Tin Đồ Ăn'!$B$4:$G$304,4, FALSE)/100,0)</f>
        <v>0</v>
      </c>
      <c r="G79" s="50">
        <f>IF($D79&gt;0, $D79*VLOOKUP($B79,'Thông Tin Đồ Ăn'!$B$4:$G$304,5, FALSE)/100,0)</f>
        <v>0</v>
      </c>
      <c r="H79" s="130">
        <f>IF($D79&gt;0, $D79*VLOOKUP($B79,'Thông Tin Đồ Ăn'!$B$4:$G$304,6, FALSE)/100,0)</f>
        <v>0</v>
      </c>
      <c r="I79" s="34"/>
      <c r="J79" s="34"/>
    </row>
    <row r="80" spans="1:10" ht="15.75" customHeight="1" x14ac:dyDescent="0.25">
      <c r="A80" s="56"/>
      <c r="B80" s="132"/>
      <c r="C80" s="51"/>
      <c r="D80" s="133"/>
      <c r="E80" s="50">
        <f>IF($D80&gt;0, $D80*VLOOKUP($B80,'Thông Tin Đồ Ăn'!$B$4:$G$304,3, FALSE)/100,0)</f>
        <v>0</v>
      </c>
      <c r="F80" s="50">
        <f>IF($D80&gt;0, $D80*VLOOKUP($B80,'Thông Tin Đồ Ăn'!$B$4:$G$304,4, FALSE)/100,0)</f>
        <v>0</v>
      </c>
      <c r="G80" s="50">
        <f>IF($D80&gt;0, $D80*VLOOKUP($B80,'Thông Tin Đồ Ăn'!$B$4:$G$304,5, FALSE)/100,0)</f>
        <v>0</v>
      </c>
      <c r="H80" s="130">
        <f>IF($D80&gt;0, $D80*VLOOKUP($B80,'Thông Tin Đồ Ăn'!$B$4:$G$304,6, FALSE)/100,0)</f>
        <v>0</v>
      </c>
      <c r="I80" s="34"/>
      <c r="J80" s="34"/>
    </row>
    <row r="81" spans="1:10" ht="15.75" customHeight="1" x14ac:dyDescent="0.25">
      <c r="A81" s="56"/>
      <c r="B81" s="132"/>
      <c r="C81" s="51"/>
      <c r="D81" s="133"/>
      <c r="E81" s="50">
        <f>IF($D81&gt;0, $D81*VLOOKUP($B81,'Thông Tin Đồ Ăn'!$B$4:$G$304,3, FALSE)/100,0)</f>
        <v>0</v>
      </c>
      <c r="F81" s="50">
        <f>IF($D81&gt;0, $D81*VLOOKUP($B81,'Thông Tin Đồ Ăn'!$B$4:$G$304,4, FALSE)/100,0)</f>
        <v>0</v>
      </c>
      <c r="G81" s="50">
        <f>IF($D81&gt;0, $D81*VLOOKUP($B81,'Thông Tin Đồ Ăn'!$B$4:$G$304,5, FALSE)/100,0)</f>
        <v>0</v>
      </c>
      <c r="H81" s="130">
        <f>IF($D81&gt;0, $D81*VLOOKUP($B81,'Thông Tin Đồ Ăn'!$B$4:$G$304,6, FALSE)/100,0)</f>
        <v>0</v>
      </c>
      <c r="I81" s="34"/>
      <c r="J81" s="34"/>
    </row>
    <row r="82" spans="1:10" ht="15.75" customHeight="1" x14ac:dyDescent="0.25">
      <c r="A82" s="56"/>
      <c r="B82" s="132"/>
      <c r="C82" s="51"/>
      <c r="D82" s="133"/>
      <c r="E82" s="50">
        <f>IF($D82&gt;0, $D82*VLOOKUP($B82,'Thông Tin Đồ Ăn'!$B$4:$G$304,3, FALSE)/100,0)</f>
        <v>0</v>
      </c>
      <c r="F82" s="50">
        <f>IF($D82&gt;0, $D82*VLOOKUP($B82,'Thông Tin Đồ Ăn'!$B$4:$G$304,4, FALSE)/100,0)</f>
        <v>0</v>
      </c>
      <c r="G82" s="50">
        <f>IF($D82&gt;0, $D82*VLOOKUP($B82,'Thông Tin Đồ Ăn'!$B$4:$G$304,5, FALSE)/100,0)</f>
        <v>0</v>
      </c>
      <c r="H82" s="130">
        <f>IF($D82&gt;0, $D82*VLOOKUP($B82,'Thông Tin Đồ Ăn'!$B$4:$G$304,6, FALSE)/100,0)</f>
        <v>0</v>
      </c>
    </row>
    <row r="83" spans="1:10" ht="15.75" customHeight="1" x14ac:dyDescent="0.25">
      <c r="A83" s="56"/>
      <c r="B83" s="132"/>
      <c r="C83" s="51"/>
      <c r="D83" s="133"/>
      <c r="E83" s="50">
        <f>IF($D83&gt;0, $D83*VLOOKUP($B83,'Thông Tin Đồ Ăn'!$B$4:$G$304,3, FALSE)/100,0)</f>
        <v>0</v>
      </c>
      <c r="F83" s="50">
        <f>IF($D83&gt;0, $D83*VLOOKUP($B83,'Thông Tin Đồ Ăn'!$B$4:$G$304,4, FALSE)/100,0)</f>
        <v>0</v>
      </c>
      <c r="G83" s="50">
        <f>IF($D83&gt;0, $D83*VLOOKUP($B83,'Thông Tin Đồ Ăn'!$B$4:$G$304,5, FALSE)/100,0)</f>
        <v>0</v>
      </c>
      <c r="H83" s="130">
        <f>IF($D83&gt;0, $D83*VLOOKUP($B83,'Thông Tin Đồ Ăn'!$B$4:$G$304,6, FALSE)/100,0)</f>
        <v>0</v>
      </c>
      <c r="I83" s="34"/>
      <c r="J83" s="34"/>
    </row>
    <row r="84" spans="1:10" ht="15.75" customHeight="1" x14ac:dyDescent="0.25">
      <c r="A84" s="56"/>
      <c r="B84" s="132"/>
      <c r="C84" s="51"/>
      <c r="D84" s="133"/>
      <c r="E84" s="50">
        <f>IF($D84&gt;0, $D84*VLOOKUP($B84,'Thông Tin Đồ Ăn'!$B$4:$G$304,3, FALSE)/100,0)</f>
        <v>0</v>
      </c>
      <c r="F84" s="50">
        <f>IF($D84&gt;0, $D84*VLOOKUP($B84,'Thông Tin Đồ Ăn'!$B$4:$G$304,4, FALSE)/100,0)</f>
        <v>0</v>
      </c>
      <c r="G84" s="50">
        <f>IF($D84&gt;0, $D84*VLOOKUP($B84,'Thông Tin Đồ Ăn'!$B$4:$G$304,5, FALSE)/100,0)</f>
        <v>0</v>
      </c>
      <c r="H84" s="130">
        <f>IF($D84&gt;0, $D84*VLOOKUP($B84,'Thông Tin Đồ Ăn'!$B$4:$G$304,6, FALSE)/100,0)</f>
        <v>0</v>
      </c>
      <c r="I84" s="34"/>
      <c r="J84" s="34"/>
    </row>
    <row r="85" spans="1:10" ht="15.75" customHeight="1" x14ac:dyDescent="0.25">
      <c r="A85" s="56"/>
      <c r="B85" s="132"/>
      <c r="C85" s="51"/>
      <c r="D85" s="133"/>
      <c r="E85" s="50">
        <f>IF($D85&gt;0, $D85*VLOOKUP($B85,'Thông Tin Đồ Ăn'!$B$4:$G$304,3, FALSE)/100,0)</f>
        <v>0</v>
      </c>
      <c r="F85" s="50">
        <f>IF($D85&gt;0, $D85*VLOOKUP($B85,'Thông Tin Đồ Ăn'!$B$4:$G$304,4, FALSE)/100,0)</f>
        <v>0</v>
      </c>
      <c r="G85" s="50">
        <f>IF($D85&gt;0, $D85*VLOOKUP($B85,'Thông Tin Đồ Ăn'!$B$4:$G$304,5, FALSE)/100,0)</f>
        <v>0</v>
      </c>
      <c r="H85" s="130">
        <f>IF($D85&gt;0, $D85*VLOOKUP($B85,'Thông Tin Đồ Ăn'!$B$4:$G$304,6, FALSE)/100,0)</f>
        <v>0</v>
      </c>
      <c r="I85" s="34"/>
      <c r="J85" s="34"/>
    </row>
    <row r="86" spans="1:10" ht="15.75" customHeight="1" x14ac:dyDescent="0.25">
      <c r="A86" s="56"/>
      <c r="B86" s="132"/>
      <c r="C86" s="51"/>
      <c r="D86" s="133"/>
      <c r="E86" s="50">
        <f>IF($D86&gt;0, $D86*VLOOKUP($B86,'Thông Tin Đồ Ăn'!$B$4:$G$304,3, FALSE)/100,0)</f>
        <v>0</v>
      </c>
      <c r="F86" s="50">
        <f>IF($D86&gt;0, $D86*VLOOKUP($B86,'Thông Tin Đồ Ăn'!$B$4:$G$304,4, FALSE)/100,0)</f>
        <v>0</v>
      </c>
      <c r="G86" s="50">
        <f>IF($D86&gt;0, $D86*VLOOKUP($B86,'Thông Tin Đồ Ăn'!$B$4:$G$304,5, FALSE)/100,0)</f>
        <v>0</v>
      </c>
      <c r="H86" s="130">
        <f>IF($D86&gt;0, $D86*VLOOKUP($B86,'Thông Tin Đồ Ăn'!$B$4:$G$304,6, FALSE)/100,0)</f>
        <v>0</v>
      </c>
      <c r="I86" s="34"/>
      <c r="J86" s="34"/>
    </row>
    <row r="87" spans="1:10" ht="15.75" customHeight="1" x14ac:dyDescent="0.25">
      <c r="A87" s="56"/>
      <c r="B87" s="132"/>
      <c r="C87" s="51"/>
      <c r="D87" s="133"/>
      <c r="E87" s="50">
        <f>IF($D87&gt;0, $D87*VLOOKUP($B87,'Thông Tin Đồ Ăn'!$B$4:$G$304,3, FALSE)/100,0)</f>
        <v>0</v>
      </c>
      <c r="F87" s="50">
        <f>IF($D87&gt;0, $D87*VLOOKUP($B87,'Thông Tin Đồ Ăn'!$B$4:$G$304,4, FALSE)/100,0)</f>
        <v>0</v>
      </c>
      <c r="G87" s="50">
        <f>IF($D87&gt;0, $D87*VLOOKUP($B87,'Thông Tin Đồ Ăn'!$B$4:$G$304,5, FALSE)/100,0)</f>
        <v>0</v>
      </c>
      <c r="H87" s="130">
        <f>IF($D87&gt;0, $D87*VLOOKUP($B87,'Thông Tin Đồ Ăn'!$B$4:$G$304,6, FALSE)/100,0)</f>
        <v>0</v>
      </c>
      <c r="I87" s="34"/>
      <c r="J87" s="34"/>
    </row>
    <row r="88" spans="1:10" ht="15.75" customHeight="1" x14ac:dyDescent="0.25">
      <c r="A88" s="56"/>
      <c r="B88" s="132"/>
      <c r="C88" s="51"/>
      <c r="D88" s="133"/>
      <c r="E88" s="50">
        <f>IF($D88&gt;0, $D88*VLOOKUP($B88,'Thông Tin Đồ Ăn'!$B$4:$G$304,3, FALSE)/100,0)</f>
        <v>0</v>
      </c>
      <c r="F88" s="50">
        <f>IF($D88&gt;0, $D88*VLOOKUP($B88,'Thông Tin Đồ Ăn'!$B$4:$G$304,4, FALSE)/100,0)</f>
        <v>0</v>
      </c>
      <c r="G88" s="50">
        <f>IF($D88&gt;0, $D88*VLOOKUP($B88,'Thông Tin Đồ Ăn'!$B$4:$G$304,5, FALSE)/100,0)</f>
        <v>0</v>
      </c>
      <c r="H88" s="130">
        <f>IF($D88&gt;0, $D88*VLOOKUP($B88,'Thông Tin Đồ Ăn'!$B$4:$G$304,6, FALSE)/100,0)</f>
        <v>0</v>
      </c>
      <c r="I88" s="34"/>
      <c r="J88" s="34"/>
    </row>
    <row r="89" spans="1:10" ht="15.75" customHeight="1" x14ac:dyDescent="0.25">
      <c r="A89" s="56"/>
      <c r="B89" s="132"/>
      <c r="C89" s="51"/>
      <c r="D89" s="133"/>
      <c r="E89" s="50">
        <f>IF($D89&gt;0, $D89*VLOOKUP($B89,'Thông Tin Đồ Ăn'!$B$4:$G$304,3, FALSE)/100,0)</f>
        <v>0</v>
      </c>
      <c r="F89" s="50">
        <f>IF($D89&gt;0, $D89*VLOOKUP($B89,'Thông Tin Đồ Ăn'!$B$4:$G$304,4, FALSE)/100,0)</f>
        <v>0</v>
      </c>
      <c r="G89" s="50">
        <f>IF($D89&gt;0, $D89*VLOOKUP($B89,'Thông Tin Đồ Ăn'!$B$4:$G$304,5, FALSE)/100,0)</f>
        <v>0</v>
      </c>
      <c r="H89" s="130">
        <f>IF($D89&gt;0, $D89*VLOOKUP($B89,'Thông Tin Đồ Ăn'!$B$4:$G$304,6, FALSE)/100,0)</f>
        <v>0</v>
      </c>
      <c r="I89" s="34"/>
      <c r="J89" s="34"/>
    </row>
    <row r="90" spans="1:10" ht="15.75" customHeight="1" x14ac:dyDescent="0.25">
      <c r="A90" s="33"/>
      <c r="B90" s="132"/>
      <c r="C90" s="51"/>
      <c r="D90" s="133"/>
      <c r="E90" s="50">
        <f>IF($D90&gt;0, $D90*VLOOKUP($B90,'Thông Tin Đồ Ăn'!$B$4:$G$304,3, FALSE)/100,0)</f>
        <v>0</v>
      </c>
      <c r="F90" s="50">
        <f>IF($D90&gt;0, $D90*VLOOKUP($B90,'Thông Tin Đồ Ăn'!$B$4:$G$304,4, FALSE)/100,0)</f>
        <v>0</v>
      </c>
      <c r="G90" s="50">
        <f>IF($D90&gt;0, $D90*VLOOKUP($B90,'Thông Tin Đồ Ăn'!$B$4:$G$304,5, FALSE)/100,0)</f>
        <v>0</v>
      </c>
      <c r="H90" s="130">
        <f>IF($D90&gt;0, $D90*VLOOKUP($B90,'Thông Tin Đồ Ăn'!$B$4:$G$304,6, FALSE)/100,0)</f>
        <v>0</v>
      </c>
      <c r="I90" s="34"/>
      <c r="J90" s="34"/>
    </row>
    <row r="91" spans="1:10" ht="15.75" customHeight="1" x14ac:dyDescent="0.25">
      <c r="A91" s="57"/>
      <c r="B91" s="132"/>
      <c r="C91" s="51"/>
      <c r="D91" s="133"/>
      <c r="E91" s="50">
        <f>IF($D91&gt;0, $D91*VLOOKUP($B91,'Thông Tin Đồ Ăn'!$B$4:$G$304,3, FALSE)/100,0)</f>
        <v>0</v>
      </c>
      <c r="F91" s="50">
        <f>IF($D91&gt;0, $D91*VLOOKUP($B91,'Thông Tin Đồ Ăn'!$B$4:$G$304,4, FALSE)/100,0)</f>
        <v>0</v>
      </c>
      <c r="G91" s="50">
        <f>IF($D91&gt;0, $D91*VLOOKUP($B91,'Thông Tin Đồ Ăn'!$B$4:$G$304,5, FALSE)/100,0)</f>
        <v>0</v>
      </c>
      <c r="H91" s="130">
        <f>IF($D91&gt;0, $D91*VLOOKUP($B91,'Thông Tin Đồ Ăn'!$B$4:$G$304,6, FALSE)/100,0)</f>
        <v>0</v>
      </c>
      <c r="I91" s="34"/>
      <c r="J91" s="34"/>
    </row>
    <row r="92" spans="1:10" ht="15.75" customHeight="1" x14ac:dyDescent="0.25">
      <c r="A92" s="57"/>
      <c r="B92" s="132"/>
      <c r="C92" s="51"/>
      <c r="D92" s="133"/>
      <c r="E92" s="50">
        <f>IF($D92&gt;0, $D92*VLOOKUP($B92,'Thông Tin Đồ Ăn'!$B$4:$G$304,3, FALSE)/100,0)</f>
        <v>0</v>
      </c>
      <c r="F92" s="50">
        <f>IF($D92&gt;0, $D92*VLOOKUP($B92,'Thông Tin Đồ Ăn'!$B$4:$G$304,4, FALSE)/100,0)</f>
        <v>0</v>
      </c>
      <c r="G92" s="50">
        <f>IF($D92&gt;0, $D92*VLOOKUP($B92,'Thông Tin Đồ Ăn'!$B$4:$G$304,5, FALSE)/100,0)</f>
        <v>0</v>
      </c>
      <c r="H92" s="130">
        <f>IF($D92&gt;0, $D92*VLOOKUP($B92,'Thông Tin Đồ Ăn'!$B$4:$G$304,6, FALSE)/100,0)</f>
        <v>0</v>
      </c>
      <c r="I92" s="34"/>
      <c r="J92" s="34"/>
    </row>
    <row r="93" spans="1:10" ht="15.75" customHeight="1" x14ac:dyDescent="0.25">
      <c r="A93" s="57"/>
      <c r="B93" s="132"/>
      <c r="C93" s="51"/>
      <c r="D93" s="133"/>
      <c r="E93" s="50">
        <f>IF($D93&gt;0, $D93*VLOOKUP($B93,'Thông Tin Đồ Ăn'!$B$4:$G$304,3, FALSE)/100,0)</f>
        <v>0</v>
      </c>
      <c r="F93" s="50">
        <f>IF($D93&gt;0, $D93*VLOOKUP($B93,'Thông Tin Đồ Ăn'!$B$4:$G$304,4, FALSE)/100,0)</f>
        <v>0</v>
      </c>
      <c r="G93" s="50">
        <f>IF($D93&gt;0, $D93*VLOOKUP($B93,'Thông Tin Đồ Ăn'!$B$4:$G$304,5, FALSE)/100,0)</f>
        <v>0</v>
      </c>
      <c r="H93" s="130">
        <f>IF($D93&gt;0, $D93*VLOOKUP($B93,'Thông Tin Đồ Ăn'!$B$4:$G$304,6, FALSE)/100,0)</f>
        <v>0</v>
      </c>
      <c r="I93" s="34"/>
      <c r="J93" s="58"/>
    </row>
    <row r="94" spans="1:10" ht="15.75" customHeight="1" x14ac:dyDescent="0.25">
      <c r="A94" s="123"/>
      <c r="B94" s="132"/>
      <c r="C94" s="51"/>
      <c r="D94" s="133"/>
      <c r="E94" s="50">
        <f>IF($D94&gt;0, $D94*VLOOKUP($B94,'Thông Tin Đồ Ăn'!$B$4:$G$304,3, FALSE)/100,0)</f>
        <v>0</v>
      </c>
      <c r="F94" s="50">
        <f>IF($D94&gt;0, $D94*VLOOKUP($B94,'Thông Tin Đồ Ăn'!$B$4:$G$304,4, FALSE)/100,0)</f>
        <v>0</v>
      </c>
      <c r="G94" s="50">
        <f>IF($D94&gt;0, $D94*VLOOKUP($B94,'Thông Tin Đồ Ăn'!$B$4:$G$304,5, FALSE)/100,0)</f>
        <v>0</v>
      </c>
      <c r="H94" s="130">
        <f>IF($D94&gt;0, $D94*VLOOKUP($B94,'Thông Tin Đồ Ăn'!$B$4:$G$304,6, FALSE)/100,0)</f>
        <v>0</v>
      </c>
      <c r="I94" s="34"/>
      <c r="J94" s="34"/>
    </row>
    <row r="95" spans="1:10" ht="15.75" customHeight="1" x14ac:dyDescent="0.25">
      <c r="A95" s="86"/>
      <c r="B95" s="132"/>
      <c r="C95" s="51"/>
      <c r="D95" s="133"/>
      <c r="E95" s="50">
        <f>IF($D95&gt;0, $D95*VLOOKUP($B95,'Thông Tin Đồ Ăn'!$B$4:$G$304,3, FALSE)/100,0)</f>
        <v>0</v>
      </c>
      <c r="F95" s="50">
        <f>IF($D95&gt;0, $D95*VLOOKUP($B95,'Thông Tin Đồ Ăn'!$B$4:$G$304,4, FALSE)/100,0)</f>
        <v>0</v>
      </c>
      <c r="G95" s="50">
        <f>IF($D95&gt;0, $D95*VLOOKUP($B95,'Thông Tin Đồ Ăn'!$B$4:$G$304,5, FALSE)/100,0)</f>
        <v>0</v>
      </c>
      <c r="H95" s="130">
        <f>IF($D95&gt;0, $D95*VLOOKUP($B95,'Thông Tin Đồ Ăn'!$B$4:$G$304,6, FALSE)/100,0)</f>
        <v>0</v>
      </c>
      <c r="I95" s="34"/>
      <c r="J95" s="34"/>
    </row>
    <row r="96" spans="1:10" ht="15.75" customHeight="1" x14ac:dyDescent="0.25">
      <c r="A96" s="85"/>
      <c r="B96" s="132"/>
      <c r="C96" s="51"/>
      <c r="D96" s="133"/>
      <c r="E96" s="50">
        <f>IF($D96&gt;0, $D96*VLOOKUP($B96,'Thông Tin Đồ Ăn'!$B$4:$G$304,3, FALSE)/100,0)</f>
        <v>0</v>
      </c>
      <c r="F96" s="50">
        <f>IF($D96&gt;0, $D96*VLOOKUP($B96,'Thông Tin Đồ Ăn'!$B$4:$G$304,4, FALSE)/100,0)</f>
        <v>0</v>
      </c>
      <c r="G96" s="50">
        <f>IF($D96&gt;0, $D96*VLOOKUP($B96,'Thông Tin Đồ Ăn'!$B$4:$G$304,5, FALSE)/100,0)</f>
        <v>0</v>
      </c>
      <c r="H96" s="130">
        <f>IF($D96&gt;0, $D96*VLOOKUP($B96,'Thông Tin Đồ Ăn'!$B$4:$G$304,6, FALSE)/100,0)</f>
        <v>0</v>
      </c>
      <c r="I96" s="34"/>
      <c r="J96" s="34"/>
    </row>
    <row r="97" spans="1:10" ht="15.75" customHeight="1" x14ac:dyDescent="0.25">
      <c r="A97" s="85"/>
      <c r="B97" s="132"/>
      <c r="C97" s="51"/>
      <c r="D97" s="133"/>
      <c r="E97" s="50">
        <f>IF($D97&gt;0, $D97*VLOOKUP($B97,'Thông Tin Đồ Ăn'!$B$4:$G$304,3, FALSE)/100,0)</f>
        <v>0</v>
      </c>
      <c r="F97" s="50">
        <f>IF($D97&gt;0, $D97*VLOOKUP($B97,'Thông Tin Đồ Ăn'!$B$4:$G$304,4, FALSE)/100,0)</f>
        <v>0</v>
      </c>
      <c r="G97" s="50">
        <f>IF($D97&gt;0, $D97*VLOOKUP($B97,'Thông Tin Đồ Ăn'!$B$4:$G$304,5, FALSE)/100,0)</f>
        <v>0</v>
      </c>
      <c r="H97" s="130">
        <f>IF($D97&gt;0, $D97*VLOOKUP($B97,'Thông Tin Đồ Ăn'!$B$4:$G$304,6, FALSE)/100,0)</f>
        <v>0</v>
      </c>
      <c r="I97" s="34"/>
      <c r="J97" s="34"/>
    </row>
    <row r="98" spans="1:10" ht="15.75" customHeight="1" x14ac:dyDescent="0.25">
      <c r="A98" s="85"/>
      <c r="B98" s="132"/>
      <c r="C98" s="51"/>
      <c r="D98" s="133"/>
      <c r="E98" s="50">
        <f>IF($D98&gt;0, $D98*VLOOKUP($B98,'Thông Tin Đồ Ăn'!$B$4:$G$304,3, FALSE)/100,0)</f>
        <v>0</v>
      </c>
      <c r="F98" s="50">
        <f>IF($D98&gt;0, $D98*VLOOKUP($B98,'Thông Tin Đồ Ăn'!$B$4:$G$304,4, FALSE)/100,0)</f>
        <v>0</v>
      </c>
      <c r="G98" s="50">
        <f>IF($D98&gt;0, $D98*VLOOKUP($B98,'Thông Tin Đồ Ăn'!$B$4:$G$304,5, FALSE)/100,0)</f>
        <v>0</v>
      </c>
      <c r="H98" s="130">
        <f>IF($D98&gt;0, $D98*VLOOKUP($B98,'Thông Tin Đồ Ăn'!$B$4:$G$304,6, FALSE)/100,0)</f>
        <v>0</v>
      </c>
      <c r="I98" s="34"/>
      <c r="J98" s="34"/>
    </row>
    <row r="99" spans="1:10" ht="15.75" customHeight="1" x14ac:dyDescent="0.25">
      <c r="A99" s="85"/>
      <c r="B99" s="132"/>
      <c r="C99" s="51"/>
      <c r="D99" s="133"/>
      <c r="E99" s="50">
        <f>IF($D99&gt;0, $D99*VLOOKUP($B99,'Thông Tin Đồ Ăn'!$B$4:$G$304,3, FALSE)/100,0)</f>
        <v>0</v>
      </c>
      <c r="F99" s="50">
        <f>IF($D99&gt;0, $D99*VLOOKUP($B99,'Thông Tin Đồ Ăn'!$B$4:$G$304,4, FALSE)/100,0)</f>
        <v>0</v>
      </c>
      <c r="G99" s="50">
        <f>IF($D99&gt;0, $D99*VLOOKUP($B99,'Thông Tin Đồ Ăn'!$B$4:$G$304,5, FALSE)/100,0)</f>
        <v>0</v>
      </c>
      <c r="H99" s="130">
        <f>IF($D99&gt;0, $D99*VLOOKUP($B99,'Thông Tin Đồ Ăn'!$B$4:$G$304,6, FALSE)/100,0)</f>
        <v>0</v>
      </c>
      <c r="I99" s="34"/>
      <c r="J99" s="34"/>
    </row>
    <row r="100" spans="1:10" ht="15.75" customHeight="1" x14ac:dyDescent="0.25">
      <c r="A100" s="86"/>
      <c r="B100" s="132"/>
      <c r="C100" s="51"/>
      <c r="D100" s="133"/>
      <c r="E100" s="50">
        <f>IF($D100&gt;0, $D100*VLOOKUP($B100,'Thông Tin Đồ Ăn'!$B$4:$G$304,3, FALSE)/100,0)</f>
        <v>0</v>
      </c>
      <c r="F100" s="50">
        <f>IF($D100&gt;0, $D100*VLOOKUP($B100,'Thông Tin Đồ Ăn'!$B$4:$G$304,4, FALSE)/100,0)</f>
        <v>0</v>
      </c>
      <c r="G100" s="50">
        <f>IF($D100&gt;0, $D100*VLOOKUP($B100,'Thông Tin Đồ Ăn'!$B$4:$G$304,5, FALSE)/100,0)</f>
        <v>0</v>
      </c>
      <c r="H100" s="130">
        <f>IF($D100&gt;0, $D100*VLOOKUP($B100,'Thông Tin Đồ Ăn'!$B$4:$G$304,6, FALSE)/100,0)</f>
        <v>0</v>
      </c>
      <c r="I100" s="34"/>
      <c r="J100" s="34"/>
    </row>
    <row r="101" spans="1:10" ht="15.75" customHeight="1" x14ac:dyDescent="0.25">
      <c r="A101" s="86"/>
      <c r="B101" s="132"/>
      <c r="C101" s="51"/>
      <c r="D101" s="133"/>
      <c r="E101" s="50">
        <f>IF($D101&gt;0, $D101*VLOOKUP($B101,'Thông Tin Đồ Ăn'!$B$4:$G$304,3, FALSE)/100,0)</f>
        <v>0</v>
      </c>
      <c r="F101" s="50">
        <f>IF($D101&gt;0, $D101*VLOOKUP($B101,'Thông Tin Đồ Ăn'!$B$4:$G$304,4, FALSE)/100,0)</f>
        <v>0</v>
      </c>
      <c r="G101" s="50">
        <f>IF($D101&gt;0, $D101*VLOOKUP($B101,'Thông Tin Đồ Ăn'!$B$4:$G$304,5, FALSE)/100,0)</f>
        <v>0</v>
      </c>
      <c r="H101" s="130">
        <f>IF($D101&gt;0, $D101*VLOOKUP($B101,'Thông Tin Đồ Ăn'!$B$4:$G$304,6, FALSE)/100,0)</f>
        <v>0</v>
      </c>
      <c r="I101" s="34"/>
      <c r="J101" s="34"/>
    </row>
    <row r="102" spans="1:10" ht="15.75" customHeight="1" x14ac:dyDescent="0.25">
      <c r="A102" s="85"/>
      <c r="B102" s="132"/>
      <c r="C102" s="51"/>
      <c r="D102" s="133"/>
      <c r="E102" s="50">
        <f>IF($D102&gt;0, $D102*VLOOKUP($B102,'Thông Tin Đồ Ăn'!$B$4:$G$304,3, FALSE)/100,0)</f>
        <v>0</v>
      </c>
      <c r="F102" s="50">
        <f>IF($D102&gt;0, $D102*VLOOKUP($B102,'Thông Tin Đồ Ăn'!$B$4:$G$304,4, FALSE)/100,0)</f>
        <v>0</v>
      </c>
      <c r="G102" s="50">
        <f>IF($D102&gt;0, $D102*VLOOKUP($B102,'Thông Tin Đồ Ăn'!$B$4:$G$304,5, FALSE)/100,0)</f>
        <v>0</v>
      </c>
      <c r="H102" s="130">
        <f>IF($D102&gt;0, $D102*VLOOKUP($B102,'Thông Tin Đồ Ăn'!$B$4:$G$304,6, FALSE)/100,0)</f>
        <v>0</v>
      </c>
      <c r="I102" s="34"/>
      <c r="J102" s="34"/>
    </row>
    <row r="103" spans="1:10" ht="15.75" customHeight="1" x14ac:dyDescent="0.25">
      <c r="A103" s="86"/>
      <c r="B103" s="132"/>
      <c r="C103" s="51"/>
      <c r="D103" s="133"/>
      <c r="E103" s="50">
        <f>IF($D103&gt;0, $D103*VLOOKUP($B103,'Thông Tin Đồ Ăn'!$B$4:$G$304,3, FALSE)/100,0)</f>
        <v>0</v>
      </c>
      <c r="F103" s="50">
        <f>IF($D103&gt;0, $D103*VLOOKUP($B103,'Thông Tin Đồ Ăn'!$B$4:$G$304,4, FALSE)/100,0)</f>
        <v>0</v>
      </c>
      <c r="G103" s="50">
        <f>IF($D103&gt;0, $D103*VLOOKUP($B103,'Thông Tin Đồ Ăn'!$B$4:$G$304,5, FALSE)/100,0)</f>
        <v>0</v>
      </c>
      <c r="H103" s="130">
        <f>IF($D103&gt;0, $D103*VLOOKUP($B103,'Thông Tin Đồ Ăn'!$B$4:$G$304,6, FALSE)/100,0)</f>
        <v>0</v>
      </c>
      <c r="I103" s="34"/>
      <c r="J103" s="34"/>
    </row>
    <row r="104" spans="1:10" ht="15.75" customHeight="1" x14ac:dyDescent="0.25">
      <c r="A104" s="86"/>
      <c r="B104" s="132"/>
      <c r="C104" s="51"/>
      <c r="D104" s="133"/>
      <c r="E104" s="50">
        <f>IF($D104&gt;0, $D104*VLOOKUP($B104,'Thông Tin Đồ Ăn'!$B$4:$G$304,3, FALSE)/100,0)</f>
        <v>0</v>
      </c>
      <c r="F104" s="50">
        <f>IF($D104&gt;0, $D104*VLOOKUP($B104,'Thông Tin Đồ Ăn'!$B$4:$G$304,4, FALSE)/100,0)</f>
        <v>0</v>
      </c>
      <c r="G104" s="50">
        <f>IF($D104&gt;0, $D104*VLOOKUP($B104,'Thông Tin Đồ Ăn'!$B$4:$G$304,5, FALSE)/100,0)</f>
        <v>0</v>
      </c>
      <c r="H104" s="130">
        <f>IF($D104&gt;0, $D104*VLOOKUP($B104,'Thông Tin Đồ Ăn'!$B$4:$G$304,6, FALSE)/100,0)</f>
        <v>0</v>
      </c>
      <c r="I104" s="34"/>
      <c r="J104" s="34"/>
    </row>
    <row r="105" spans="1:10" ht="15.75" customHeight="1" x14ac:dyDescent="0.25">
      <c r="A105" s="86"/>
      <c r="B105" s="132"/>
      <c r="C105" s="51"/>
      <c r="D105" s="133"/>
      <c r="E105" s="50">
        <f>IF($D105&gt;0, $D105*VLOOKUP($B105,'Thông Tin Đồ Ăn'!$B$4:$G$304,3, FALSE)/100,0)</f>
        <v>0</v>
      </c>
      <c r="F105" s="50">
        <f>IF($D105&gt;0, $D105*VLOOKUP($B105,'Thông Tin Đồ Ăn'!$B$4:$G$304,4, FALSE)/100,0)</f>
        <v>0</v>
      </c>
      <c r="G105" s="50">
        <f>IF($D105&gt;0, $D105*VLOOKUP($B105,'Thông Tin Đồ Ăn'!$B$4:$G$304,5, FALSE)/100,0)</f>
        <v>0</v>
      </c>
      <c r="H105" s="130">
        <f>IF($D105&gt;0, $D105*VLOOKUP($B105,'Thông Tin Đồ Ăn'!$B$4:$G$304,6, FALSE)/100,0)</f>
        <v>0</v>
      </c>
      <c r="I105" s="34"/>
      <c r="J105" s="34"/>
    </row>
    <row r="106" spans="1:10" ht="15.75" customHeight="1" x14ac:dyDescent="0.25">
      <c r="A106" s="85"/>
      <c r="B106" s="132"/>
      <c r="C106" s="51"/>
      <c r="D106" s="133"/>
      <c r="E106" s="50">
        <f>IF($D106&gt;0, $D106*VLOOKUP($B106,'Thông Tin Đồ Ăn'!$B$4:$G$304,3, FALSE)/100,0)</f>
        <v>0</v>
      </c>
      <c r="F106" s="50">
        <f>IF($D106&gt;0, $D106*VLOOKUP($B106,'Thông Tin Đồ Ăn'!$B$4:$G$304,4, FALSE)/100,0)</f>
        <v>0</v>
      </c>
      <c r="G106" s="50">
        <f>IF($D106&gt;0, $D106*VLOOKUP($B106,'Thông Tin Đồ Ăn'!$B$4:$G$304,5, FALSE)/100,0)</f>
        <v>0</v>
      </c>
      <c r="H106" s="130">
        <f>IF($D106&gt;0, $D106*VLOOKUP($B106,'Thông Tin Đồ Ăn'!$B$4:$G$304,6, FALSE)/100,0)</f>
        <v>0</v>
      </c>
      <c r="I106" s="34"/>
      <c r="J106" s="34"/>
    </row>
    <row r="107" spans="1:10" ht="15.75" customHeight="1" x14ac:dyDescent="0.25">
      <c r="A107" s="86"/>
      <c r="B107" s="132"/>
      <c r="C107" s="51"/>
      <c r="D107" s="133"/>
      <c r="E107" s="50">
        <f>IF($D107&gt;0, $D107*VLOOKUP($B107,'Thông Tin Đồ Ăn'!$B$4:$G$304,3, FALSE)/100,0)</f>
        <v>0</v>
      </c>
      <c r="F107" s="50">
        <f>IF($D107&gt;0, $D107*VLOOKUP($B107,'Thông Tin Đồ Ăn'!$B$4:$G$304,4, FALSE)/100,0)</f>
        <v>0</v>
      </c>
      <c r="G107" s="50">
        <f>IF($D107&gt;0, $D107*VLOOKUP($B107,'Thông Tin Đồ Ăn'!$B$4:$G$304,5, FALSE)/100,0)</f>
        <v>0</v>
      </c>
      <c r="H107" s="130">
        <f>IF($D107&gt;0, $D107*VLOOKUP($B107,'Thông Tin Đồ Ăn'!$B$4:$G$304,6, FALSE)/100,0)</f>
        <v>0</v>
      </c>
      <c r="I107" s="34"/>
      <c r="J107" s="34"/>
    </row>
    <row r="108" spans="1:10" ht="15.75" customHeight="1" x14ac:dyDescent="0.25">
      <c r="A108" s="85"/>
      <c r="B108" s="132"/>
      <c r="C108" s="51"/>
      <c r="D108" s="133"/>
      <c r="E108" s="50">
        <f>IF($D108&gt;0, $D108*VLOOKUP($B108,'Thông Tin Đồ Ăn'!$B$4:$G$304,3, FALSE)/100,0)</f>
        <v>0</v>
      </c>
      <c r="F108" s="50">
        <f>IF($D108&gt;0, $D108*VLOOKUP($B108,'Thông Tin Đồ Ăn'!$B$4:$G$304,4, FALSE)/100,0)</f>
        <v>0</v>
      </c>
      <c r="G108" s="50">
        <f>IF($D108&gt;0, $D108*VLOOKUP($B108,'Thông Tin Đồ Ăn'!$B$4:$G$304,5, FALSE)/100,0)</f>
        <v>0</v>
      </c>
      <c r="H108" s="130">
        <f>IF($D108&gt;0, $D108*VLOOKUP($B108,'Thông Tin Đồ Ăn'!$B$4:$G$304,6, FALSE)/100,0)</f>
        <v>0</v>
      </c>
      <c r="I108" s="34"/>
      <c r="J108" s="34"/>
    </row>
    <row r="109" spans="1:10" ht="15.75" customHeight="1" x14ac:dyDescent="0.25">
      <c r="A109" s="86"/>
      <c r="B109" s="132"/>
      <c r="C109" s="51"/>
      <c r="D109" s="133"/>
      <c r="E109" s="50">
        <f>IF($D109&gt;0, $D109*VLOOKUP($B109,'Thông Tin Đồ Ăn'!$B$4:$G$304,3, FALSE)/100,0)</f>
        <v>0</v>
      </c>
      <c r="F109" s="50">
        <f>IF($D109&gt;0, $D109*VLOOKUP($B109,'Thông Tin Đồ Ăn'!$B$4:$G$304,4, FALSE)/100,0)</f>
        <v>0</v>
      </c>
      <c r="G109" s="50">
        <f>IF($D109&gt;0, $D109*VLOOKUP($B109,'Thông Tin Đồ Ăn'!$B$4:$G$304,5, FALSE)/100,0)</f>
        <v>0</v>
      </c>
      <c r="H109" s="130">
        <f>IF($D109&gt;0, $D109*VLOOKUP($B109,'Thông Tin Đồ Ăn'!$B$4:$G$304,6, FALSE)/100,0)</f>
        <v>0</v>
      </c>
      <c r="I109" s="34"/>
      <c r="J109" s="34"/>
    </row>
    <row r="110" spans="1:10" ht="15.75" customHeight="1" x14ac:dyDescent="0.25">
      <c r="A110" s="86"/>
      <c r="B110" s="132"/>
      <c r="C110" s="51"/>
      <c r="D110" s="133"/>
      <c r="E110" s="50">
        <f>IF($D110&gt;0, $D110*VLOOKUP($B110,'Thông Tin Đồ Ăn'!$B$4:$G$304,3, FALSE)/100,0)</f>
        <v>0</v>
      </c>
      <c r="F110" s="50">
        <f>IF($D110&gt;0, $D110*VLOOKUP($B110,'Thông Tin Đồ Ăn'!$B$4:$G$304,4, FALSE)/100,0)</f>
        <v>0</v>
      </c>
      <c r="G110" s="50">
        <f>IF($D110&gt;0, $D110*VLOOKUP($B110,'Thông Tin Đồ Ăn'!$B$4:$G$304,5, FALSE)/100,0)</f>
        <v>0</v>
      </c>
      <c r="H110" s="130">
        <f>IF($D110&gt;0, $D110*VLOOKUP($B110,'Thông Tin Đồ Ăn'!$B$4:$G$304,6, FALSE)/100,0)</f>
        <v>0</v>
      </c>
      <c r="I110" s="34"/>
      <c r="J110" s="34"/>
    </row>
    <row r="111" spans="1:10" ht="15.75" customHeight="1" x14ac:dyDescent="0.25">
      <c r="A111" s="86"/>
      <c r="B111" s="132"/>
      <c r="C111" s="51"/>
      <c r="D111" s="133"/>
      <c r="E111" s="50">
        <f>IF($D111&gt;0, $D111*VLOOKUP($B111,'Thông Tin Đồ Ăn'!$B$4:$G$304,3, FALSE)/100,0)</f>
        <v>0</v>
      </c>
      <c r="F111" s="50">
        <f>IF($D111&gt;0, $D111*VLOOKUP($B111,'Thông Tin Đồ Ăn'!$B$4:$G$304,4, FALSE)/100,0)</f>
        <v>0</v>
      </c>
      <c r="G111" s="50">
        <f>IF($D111&gt;0, $D111*VLOOKUP($B111,'Thông Tin Đồ Ăn'!$B$4:$G$304,5, FALSE)/100,0)</f>
        <v>0</v>
      </c>
      <c r="H111" s="130">
        <f>IF($D111&gt;0, $D111*VLOOKUP($B111,'Thông Tin Đồ Ăn'!$B$4:$G$304,6, FALSE)/100,0)</f>
        <v>0</v>
      </c>
      <c r="I111" s="34"/>
      <c r="J111" s="58"/>
    </row>
    <row r="112" spans="1:10" ht="15.75" customHeight="1" x14ac:dyDescent="0.25">
      <c r="A112" s="86"/>
      <c r="B112" s="132"/>
      <c r="C112" s="51"/>
      <c r="D112" s="133"/>
      <c r="E112" s="50">
        <f>IF($D112&gt;0, $D112*VLOOKUP($B112,'Thông Tin Đồ Ăn'!$B$4:$G$304,3, FALSE)/100,0)</f>
        <v>0</v>
      </c>
      <c r="F112" s="50">
        <f>IF($D112&gt;0, $D112*VLOOKUP($B112,'Thông Tin Đồ Ăn'!$B$4:$G$304,4, FALSE)/100,0)</f>
        <v>0</v>
      </c>
      <c r="G112" s="50">
        <f>IF($D112&gt;0, $D112*VLOOKUP($B112,'Thông Tin Đồ Ăn'!$B$4:$G$304,5, FALSE)/100,0)</f>
        <v>0</v>
      </c>
      <c r="H112" s="130">
        <f>IF($D112&gt;0, $D112*VLOOKUP($B112,'Thông Tin Đồ Ăn'!$B$4:$G$304,6, FALSE)/100,0)</f>
        <v>0</v>
      </c>
      <c r="I112" s="34"/>
      <c r="J112" s="34"/>
    </row>
    <row r="113" spans="1:10" ht="15.75" customHeight="1" x14ac:dyDescent="0.25">
      <c r="A113" s="86"/>
      <c r="B113" s="132"/>
      <c r="C113" s="51"/>
      <c r="D113" s="133"/>
      <c r="E113" s="50">
        <f>IF($D113&gt;0, $D113*VLOOKUP($B113,'Thông Tin Đồ Ăn'!$B$4:$G$304,3, FALSE)/100,0)</f>
        <v>0</v>
      </c>
      <c r="F113" s="50">
        <f>IF($D113&gt;0, $D113*VLOOKUP($B113,'Thông Tin Đồ Ăn'!$B$4:$G$304,4, FALSE)/100,0)</f>
        <v>0</v>
      </c>
      <c r="G113" s="50">
        <f>IF($D113&gt;0, $D113*VLOOKUP($B113,'Thông Tin Đồ Ăn'!$B$4:$G$304,5, FALSE)/100,0)</f>
        <v>0</v>
      </c>
      <c r="H113" s="130">
        <f>IF($D113&gt;0, $D113*VLOOKUP($B113,'Thông Tin Đồ Ăn'!$B$4:$G$304,6, FALSE)/100,0)</f>
        <v>0</v>
      </c>
      <c r="I113" s="34"/>
      <c r="J113" s="34"/>
    </row>
    <row r="114" spans="1:10" ht="15.75" customHeight="1" x14ac:dyDescent="0.25">
      <c r="A114" s="86"/>
      <c r="B114" s="132"/>
      <c r="C114" s="51"/>
      <c r="D114" s="133"/>
      <c r="E114" s="50">
        <f>IF($D114&gt;0, $D114*VLOOKUP($B114,'Thông Tin Đồ Ăn'!$B$4:$G$304,3, FALSE)/100,0)</f>
        <v>0</v>
      </c>
      <c r="F114" s="50">
        <f>IF($D114&gt;0, $D114*VLOOKUP($B114,'Thông Tin Đồ Ăn'!$B$4:$G$304,4, FALSE)/100,0)</f>
        <v>0</v>
      </c>
      <c r="G114" s="50">
        <f>IF($D114&gt;0, $D114*VLOOKUP($B114,'Thông Tin Đồ Ăn'!$B$4:$G$304,5, FALSE)/100,0)</f>
        <v>0</v>
      </c>
      <c r="H114" s="130">
        <f>IF($D114&gt;0, $D114*VLOOKUP($B114,'Thông Tin Đồ Ăn'!$B$4:$G$304,6, FALSE)/100,0)</f>
        <v>0</v>
      </c>
      <c r="I114" s="34"/>
      <c r="J114" s="34"/>
    </row>
    <row r="115" spans="1:10" ht="15.75" customHeight="1" x14ac:dyDescent="0.25">
      <c r="A115" s="86"/>
      <c r="B115" s="132"/>
      <c r="C115" s="51"/>
      <c r="D115" s="133"/>
      <c r="E115" s="50">
        <f>IF($D115&gt;0, $D115*VLOOKUP($B115,'Thông Tin Đồ Ăn'!$B$4:$G$304,3, FALSE)/100,0)</f>
        <v>0</v>
      </c>
      <c r="F115" s="50">
        <f>IF($D115&gt;0, $D115*VLOOKUP($B115,'Thông Tin Đồ Ăn'!$B$4:$G$304,4, FALSE)/100,0)</f>
        <v>0</v>
      </c>
      <c r="G115" s="50">
        <f>IF($D115&gt;0, $D115*VLOOKUP($B115,'Thông Tin Đồ Ăn'!$B$4:$G$304,5, FALSE)/100,0)</f>
        <v>0</v>
      </c>
      <c r="H115" s="130">
        <f>IF($D115&gt;0, $D115*VLOOKUP($B115,'Thông Tin Đồ Ăn'!$B$4:$G$304,6, FALSE)/100,0)</f>
        <v>0</v>
      </c>
      <c r="I115" s="34"/>
      <c r="J115" s="34"/>
    </row>
    <row r="116" spans="1:10" ht="15.75" customHeight="1" x14ac:dyDescent="0.25">
      <c r="A116" s="86"/>
      <c r="B116" s="132"/>
      <c r="C116" s="51"/>
      <c r="D116" s="133"/>
      <c r="E116" s="50">
        <f>IF($D116&gt;0, $D116*VLOOKUP($B116,'Thông Tin Đồ Ăn'!$B$4:$G$304,3, FALSE)/100,0)</f>
        <v>0</v>
      </c>
      <c r="F116" s="50">
        <f>IF($D116&gt;0, $D116*VLOOKUP($B116,'Thông Tin Đồ Ăn'!$B$4:$G$304,4, FALSE)/100,0)</f>
        <v>0</v>
      </c>
      <c r="G116" s="50">
        <f>IF($D116&gt;0, $D116*VLOOKUP($B116,'Thông Tin Đồ Ăn'!$B$4:$G$304,5, FALSE)/100,0)</f>
        <v>0</v>
      </c>
      <c r="H116" s="130">
        <f>IF($D116&gt;0, $D116*VLOOKUP($B116,'Thông Tin Đồ Ăn'!$B$4:$G$304,6, FALSE)/100,0)</f>
        <v>0</v>
      </c>
      <c r="I116" s="34"/>
      <c r="J116" s="34"/>
    </row>
    <row r="117" spans="1:10" ht="15.75" customHeight="1" x14ac:dyDescent="0.25">
      <c r="A117" s="86"/>
      <c r="B117" s="132"/>
      <c r="C117" s="51"/>
      <c r="D117" s="133"/>
      <c r="E117" s="50">
        <f>IF($D117&gt;0, $D117*VLOOKUP($B117,'Thông Tin Đồ Ăn'!$B$4:$G$304,3, FALSE)/100,0)</f>
        <v>0</v>
      </c>
      <c r="F117" s="50">
        <f>IF($D117&gt;0, $D117*VLOOKUP($B117,'Thông Tin Đồ Ăn'!$B$4:$G$304,4, FALSE)/100,0)</f>
        <v>0</v>
      </c>
      <c r="G117" s="50">
        <f>IF($D117&gt;0, $D117*VLOOKUP($B117,'Thông Tin Đồ Ăn'!$B$4:$G$304,5, FALSE)/100,0)</f>
        <v>0</v>
      </c>
      <c r="H117" s="130">
        <f>IF($D117&gt;0, $D117*VLOOKUP($B117,'Thông Tin Đồ Ăn'!$B$4:$G$304,6, FALSE)/100,0)</f>
        <v>0</v>
      </c>
      <c r="I117" s="34"/>
      <c r="J117" s="34"/>
    </row>
    <row r="118" spans="1:10" ht="15.75" customHeight="1" x14ac:dyDescent="0.25">
      <c r="A118" s="86"/>
      <c r="B118" s="132"/>
      <c r="C118" s="51"/>
      <c r="D118" s="133"/>
      <c r="E118" s="50">
        <f>IF($D118&gt;0, $D118*VLOOKUP($B118,'Thông Tin Đồ Ăn'!$B$4:$G$304,3, FALSE)/100,0)</f>
        <v>0</v>
      </c>
      <c r="F118" s="50">
        <f>IF($D118&gt;0, $D118*VLOOKUP($B118,'Thông Tin Đồ Ăn'!$B$4:$G$304,4, FALSE)/100,0)</f>
        <v>0</v>
      </c>
      <c r="G118" s="50">
        <f>IF($D118&gt;0, $D118*VLOOKUP($B118,'Thông Tin Đồ Ăn'!$B$4:$G$304,5, FALSE)/100,0)</f>
        <v>0</v>
      </c>
      <c r="H118" s="130">
        <f>IF($D118&gt;0, $D118*VLOOKUP($B118,'Thông Tin Đồ Ăn'!$B$4:$G$304,6, FALSE)/100,0)</f>
        <v>0</v>
      </c>
      <c r="I118" s="34"/>
      <c r="J118" s="34"/>
    </row>
    <row r="119" spans="1:10" ht="15.75" customHeight="1" x14ac:dyDescent="0.25">
      <c r="A119" s="86"/>
      <c r="B119" s="132"/>
      <c r="C119" s="51"/>
      <c r="D119" s="133"/>
      <c r="E119" s="50">
        <f>IF($D119&gt;0, $D119*VLOOKUP($B119,'Thông Tin Đồ Ăn'!$B$4:$G$304,3, FALSE)/100,0)</f>
        <v>0</v>
      </c>
      <c r="F119" s="50">
        <f>IF($D119&gt;0, $D119*VLOOKUP($B119,'Thông Tin Đồ Ăn'!$B$4:$G$304,4, FALSE)/100,0)</f>
        <v>0</v>
      </c>
      <c r="G119" s="50">
        <f>IF($D119&gt;0, $D119*VLOOKUP($B119,'Thông Tin Đồ Ăn'!$B$4:$G$304,5, FALSE)/100,0)</f>
        <v>0</v>
      </c>
      <c r="H119" s="130">
        <f>IF($D119&gt;0, $D119*VLOOKUP($B119,'Thông Tin Đồ Ăn'!$B$4:$G$304,6, FALSE)/100,0)</f>
        <v>0</v>
      </c>
      <c r="I119" s="34"/>
      <c r="J119" s="34"/>
    </row>
    <row r="120" spans="1:10" ht="15.75" customHeight="1" x14ac:dyDescent="0.25">
      <c r="A120" s="86"/>
      <c r="B120" s="132"/>
      <c r="C120" s="51"/>
      <c r="D120" s="133"/>
      <c r="E120" s="50">
        <f>IF($D120&gt;0, $D120*VLOOKUP($B120,'Thông Tin Đồ Ăn'!$B$4:$G$304,3, FALSE)/100,0)</f>
        <v>0</v>
      </c>
      <c r="F120" s="50">
        <f>IF($D120&gt;0, $D120*VLOOKUP($B120,'Thông Tin Đồ Ăn'!$B$4:$G$304,4, FALSE)/100,0)</f>
        <v>0</v>
      </c>
      <c r="G120" s="50">
        <f>IF($D120&gt;0, $D120*VLOOKUP($B120,'Thông Tin Đồ Ăn'!$B$4:$G$304,5, FALSE)/100,0)</f>
        <v>0</v>
      </c>
      <c r="H120" s="130">
        <f>IF($D120&gt;0, $D120*VLOOKUP($B120,'Thông Tin Đồ Ăn'!$B$4:$G$304,6, FALSE)/100,0)</f>
        <v>0</v>
      </c>
      <c r="I120" s="54"/>
      <c r="J120" s="54"/>
    </row>
    <row r="121" spans="1:10" ht="15.75" customHeight="1" x14ac:dyDescent="0.25">
      <c r="A121" s="86"/>
      <c r="B121" s="132"/>
      <c r="C121" s="51"/>
      <c r="D121" s="133"/>
      <c r="E121" s="50">
        <f>IF($D121&gt;0, $D121*VLOOKUP($B121,'Thông Tin Đồ Ăn'!$B$4:$G$304,3, FALSE)/100,0)</f>
        <v>0</v>
      </c>
      <c r="F121" s="50">
        <f>IF($D121&gt;0, $D121*VLOOKUP($B121,'Thông Tin Đồ Ăn'!$B$4:$G$304,4, FALSE)/100,0)</f>
        <v>0</v>
      </c>
      <c r="G121" s="50">
        <f>IF($D121&gt;0, $D121*VLOOKUP($B121,'Thông Tin Đồ Ăn'!$B$4:$G$304,5, FALSE)/100,0)</f>
        <v>0</v>
      </c>
      <c r="H121" s="130">
        <f>IF($D121&gt;0, $D121*VLOOKUP($B121,'Thông Tin Đồ Ăn'!$B$4:$G$304,6, FALSE)/100,0)</f>
        <v>0</v>
      </c>
      <c r="I121" s="54"/>
      <c r="J121" s="54"/>
    </row>
    <row r="122" spans="1:10" ht="15.75" customHeight="1" x14ac:dyDescent="0.25">
      <c r="A122" s="86"/>
      <c r="B122" s="132"/>
      <c r="C122" s="51"/>
      <c r="D122" s="133"/>
      <c r="E122" s="50">
        <f>IF($D122&gt;0, $D122*VLOOKUP($B122,'Thông Tin Đồ Ăn'!$B$4:$G$304,3, FALSE)/100,0)</f>
        <v>0</v>
      </c>
      <c r="F122" s="50">
        <f>IF($D122&gt;0, $D122*VLOOKUP($B122,'Thông Tin Đồ Ăn'!$B$4:$G$304,4, FALSE)/100,0)</f>
        <v>0</v>
      </c>
      <c r="G122" s="50">
        <f>IF($D122&gt;0, $D122*VLOOKUP($B122,'Thông Tin Đồ Ăn'!$B$4:$G$304,5, FALSE)/100,0)</f>
        <v>0</v>
      </c>
      <c r="H122" s="130">
        <f>IF($D122&gt;0, $D122*VLOOKUP($B122,'Thông Tin Đồ Ăn'!$B$4:$G$304,6, FALSE)/100,0)</f>
        <v>0</v>
      </c>
      <c r="I122" s="54"/>
      <c r="J122" s="54"/>
    </row>
    <row r="123" spans="1:10" ht="15.75" customHeight="1" x14ac:dyDescent="0.25">
      <c r="A123" s="86"/>
      <c r="B123" s="132"/>
      <c r="C123" s="51"/>
      <c r="D123" s="133"/>
      <c r="E123" s="50">
        <f>IF($D123&gt;0, $D123*VLOOKUP($B123,'Thông Tin Đồ Ăn'!$B$4:$G$304,3, FALSE)/100,0)</f>
        <v>0</v>
      </c>
      <c r="F123" s="50">
        <f>IF($D123&gt;0, $D123*VLOOKUP($B123,'Thông Tin Đồ Ăn'!$B$4:$G$304,4, FALSE)/100,0)</f>
        <v>0</v>
      </c>
      <c r="G123" s="50">
        <f>IF($D123&gt;0, $D123*VLOOKUP($B123,'Thông Tin Đồ Ăn'!$B$4:$G$304,5, FALSE)/100,0)</f>
        <v>0</v>
      </c>
      <c r="H123" s="130">
        <f>IF($D123&gt;0, $D123*VLOOKUP($B123,'Thông Tin Đồ Ăn'!$B$4:$G$304,6, FALSE)/100,0)</f>
        <v>0</v>
      </c>
      <c r="I123" s="54"/>
      <c r="J123" s="54"/>
    </row>
    <row r="124" spans="1:10" ht="15.75" customHeight="1" x14ac:dyDescent="0.25">
      <c r="A124" s="86"/>
      <c r="B124" s="132"/>
      <c r="C124" s="51"/>
      <c r="D124" s="133"/>
      <c r="E124" s="50">
        <f>IF($D124&gt;0, $D124*VLOOKUP($B124,'Thông Tin Đồ Ăn'!$B$4:$G$304,3, FALSE)/100,0)</f>
        <v>0</v>
      </c>
      <c r="F124" s="50">
        <f>IF($D124&gt;0, $D124*VLOOKUP($B124,'Thông Tin Đồ Ăn'!$B$4:$G$304,4, FALSE)/100,0)</f>
        <v>0</v>
      </c>
      <c r="G124" s="50">
        <f>IF($D124&gt;0, $D124*VLOOKUP($B124,'Thông Tin Đồ Ăn'!$B$4:$G$304,5, FALSE)/100,0)</f>
        <v>0</v>
      </c>
      <c r="H124" s="130">
        <f>IF($D124&gt;0, $D124*VLOOKUP($B124,'Thông Tin Đồ Ăn'!$B$4:$G$304,6, FALSE)/100,0)</f>
        <v>0</v>
      </c>
      <c r="I124" s="54"/>
      <c r="J124" s="58"/>
    </row>
    <row r="125" spans="1:10" ht="15.75" customHeight="1" x14ac:dyDescent="0.25">
      <c r="A125" s="86"/>
      <c r="B125" s="132"/>
      <c r="C125" s="51"/>
      <c r="D125" s="133"/>
      <c r="E125" s="50">
        <f>IF($D125&gt;0, $D125*VLOOKUP($B125,'Thông Tin Đồ Ăn'!$B$4:$G$304,3, FALSE)/100,0)</f>
        <v>0</v>
      </c>
      <c r="F125" s="50">
        <f>IF($D125&gt;0, $D125*VLOOKUP($B125,'Thông Tin Đồ Ăn'!$B$4:$G$304,4, FALSE)/100,0)</f>
        <v>0</v>
      </c>
      <c r="G125" s="50">
        <f>IF($D125&gt;0, $D125*VLOOKUP($B125,'Thông Tin Đồ Ăn'!$B$4:$G$304,5, FALSE)/100,0)</f>
        <v>0</v>
      </c>
      <c r="H125" s="130">
        <f>IF($D125&gt;0, $D125*VLOOKUP($B125,'Thông Tin Đồ Ăn'!$B$4:$G$304,6, FALSE)/100,0)</f>
        <v>0</v>
      </c>
      <c r="I125" s="54"/>
      <c r="J125" s="54"/>
    </row>
    <row r="126" spans="1:10" ht="15.75" customHeight="1" x14ac:dyDescent="0.25">
      <c r="A126" s="86"/>
      <c r="B126" s="132"/>
      <c r="C126" s="51"/>
      <c r="D126" s="133"/>
      <c r="E126" s="50">
        <f>IF($D126&gt;0, $D126*VLOOKUP($B126,'Thông Tin Đồ Ăn'!$B$4:$G$304,3, FALSE)/100,0)</f>
        <v>0</v>
      </c>
      <c r="F126" s="50">
        <f>IF($D126&gt;0, $D126*VLOOKUP($B126,'Thông Tin Đồ Ăn'!$B$4:$G$304,4, FALSE)/100,0)</f>
        <v>0</v>
      </c>
      <c r="G126" s="50">
        <f>IF($D126&gt;0, $D126*VLOOKUP($B126,'Thông Tin Đồ Ăn'!$B$4:$G$304,5, FALSE)/100,0)</f>
        <v>0</v>
      </c>
      <c r="H126" s="130">
        <f>IF($D126&gt;0, $D126*VLOOKUP($B126,'Thông Tin Đồ Ăn'!$B$4:$G$304,6, FALSE)/100,0)</f>
        <v>0</v>
      </c>
      <c r="I126" s="54"/>
      <c r="J126" s="54"/>
    </row>
    <row r="127" spans="1:10" ht="15.75" customHeight="1" x14ac:dyDescent="0.25">
      <c r="A127" s="86"/>
      <c r="B127" s="132"/>
      <c r="C127" s="51"/>
      <c r="D127" s="133"/>
      <c r="E127" s="50">
        <f>IF($D127&gt;0, $D127*VLOOKUP($B127,'Thông Tin Đồ Ăn'!$B$4:$G$304,3, FALSE)/100,0)</f>
        <v>0</v>
      </c>
      <c r="F127" s="50">
        <f>IF($D127&gt;0, $D127*VLOOKUP($B127,'Thông Tin Đồ Ăn'!$B$4:$G$304,4, FALSE)/100,0)</f>
        <v>0</v>
      </c>
      <c r="G127" s="50">
        <f>IF($D127&gt;0, $D127*VLOOKUP($B127,'Thông Tin Đồ Ăn'!$B$4:$G$304,5, FALSE)/100,0)</f>
        <v>0</v>
      </c>
      <c r="H127" s="130">
        <f>IF($D127&gt;0, $D127*VLOOKUP($B127,'Thông Tin Đồ Ăn'!$B$4:$G$304,6, FALSE)/100,0)</f>
        <v>0</v>
      </c>
      <c r="I127" s="54"/>
      <c r="J127" s="54"/>
    </row>
    <row r="128" spans="1:10" ht="15.75" customHeight="1" x14ac:dyDescent="0.25">
      <c r="A128" s="86"/>
      <c r="B128" s="132"/>
      <c r="C128" s="51"/>
      <c r="D128" s="133"/>
      <c r="E128" s="50">
        <f>IF($D128&gt;0, $D128*VLOOKUP($B128,'Thông Tin Đồ Ăn'!$B$4:$G$304,3, FALSE)/100,0)</f>
        <v>0</v>
      </c>
      <c r="F128" s="50">
        <f>IF($D128&gt;0, $D128*VLOOKUP($B128,'Thông Tin Đồ Ăn'!$B$4:$G$304,4, FALSE)/100,0)</f>
        <v>0</v>
      </c>
      <c r="G128" s="50">
        <f>IF($D128&gt;0, $D128*VLOOKUP($B128,'Thông Tin Đồ Ăn'!$B$4:$G$304,5, FALSE)/100,0)</f>
        <v>0</v>
      </c>
      <c r="H128" s="130">
        <f>IF($D128&gt;0, $D128*VLOOKUP($B128,'Thông Tin Đồ Ăn'!$B$4:$G$304,6, FALSE)/100,0)</f>
        <v>0</v>
      </c>
      <c r="I128" s="54"/>
      <c r="J128" s="54"/>
    </row>
    <row r="129" spans="1:10" ht="15.75" customHeight="1" x14ac:dyDescent="0.25">
      <c r="A129" s="86"/>
      <c r="B129" s="132"/>
      <c r="C129" s="51"/>
      <c r="D129" s="133"/>
      <c r="E129" s="50">
        <f>IF($D129&gt;0, $D129*VLOOKUP($B129,'Thông Tin Đồ Ăn'!$B$4:$G$304,3, FALSE)/100,0)</f>
        <v>0</v>
      </c>
      <c r="F129" s="50">
        <f>IF($D129&gt;0, $D129*VLOOKUP($B129,'Thông Tin Đồ Ăn'!$B$4:$G$304,4, FALSE)/100,0)</f>
        <v>0</v>
      </c>
      <c r="G129" s="50">
        <f>IF($D129&gt;0, $D129*VLOOKUP($B129,'Thông Tin Đồ Ăn'!$B$4:$G$304,5, FALSE)/100,0)</f>
        <v>0</v>
      </c>
      <c r="H129" s="130">
        <f>IF($D129&gt;0, $D129*VLOOKUP($B129,'Thông Tin Đồ Ăn'!$B$4:$G$304,6, FALSE)/100,0)</f>
        <v>0</v>
      </c>
      <c r="I129" s="54"/>
      <c r="J129" s="54"/>
    </row>
    <row r="130" spans="1:10" ht="15.75" customHeight="1" x14ac:dyDescent="0.25">
      <c r="A130" s="86"/>
      <c r="B130" s="132"/>
      <c r="C130" s="51"/>
      <c r="D130" s="133"/>
      <c r="E130" s="50">
        <f>IF($D130&gt;0, $D130*VLOOKUP($B130,'Thông Tin Đồ Ăn'!$B$4:$G$304,3, FALSE)/100,0)</f>
        <v>0</v>
      </c>
      <c r="F130" s="50">
        <f>IF($D130&gt;0, $D130*VLOOKUP($B130,'Thông Tin Đồ Ăn'!$B$4:$G$304,4, FALSE)/100,0)</f>
        <v>0</v>
      </c>
      <c r="G130" s="50">
        <f>IF($D130&gt;0, $D130*VLOOKUP($B130,'Thông Tin Đồ Ăn'!$B$4:$G$304,5, FALSE)/100,0)</f>
        <v>0</v>
      </c>
      <c r="H130" s="130">
        <f>IF($D130&gt;0, $D130*VLOOKUP($B130,'Thông Tin Đồ Ăn'!$B$4:$G$304,6, FALSE)/100,0)</f>
        <v>0</v>
      </c>
      <c r="I130" s="54"/>
      <c r="J130" s="54"/>
    </row>
    <row r="131" spans="1:10" ht="15.75" customHeight="1" x14ac:dyDescent="0.25">
      <c r="A131" s="86"/>
      <c r="B131" s="132"/>
      <c r="C131" s="51"/>
      <c r="D131" s="133"/>
      <c r="E131" s="50">
        <f>IF($D131&gt;0, $D131*VLOOKUP($B131,'Thông Tin Đồ Ăn'!$B$4:$G$304,3, FALSE)/100,0)</f>
        <v>0</v>
      </c>
      <c r="F131" s="50">
        <f>IF($D131&gt;0, $D131*VLOOKUP($B131,'Thông Tin Đồ Ăn'!$B$4:$G$304,4, FALSE)/100,0)</f>
        <v>0</v>
      </c>
      <c r="G131" s="50">
        <f>IF($D131&gt;0, $D131*VLOOKUP($B131,'Thông Tin Đồ Ăn'!$B$4:$G$304,5, FALSE)/100,0)</f>
        <v>0</v>
      </c>
      <c r="H131" s="130">
        <f>IF($D131&gt;0, $D131*VLOOKUP($B131,'Thông Tin Đồ Ăn'!$B$4:$G$304,6, FALSE)/100,0)</f>
        <v>0</v>
      </c>
      <c r="I131" s="54"/>
      <c r="J131" s="58"/>
    </row>
    <row r="132" spans="1:10" ht="15.75" customHeight="1" x14ac:dyDescent="0.25">
      <c r="A132" s="86"/>
      <c r="B132" s="132"/>
      <c r="C132" s="51"/>
      <c r="D132" s="133"/>
      <c r="E132" s="50">
        <f>IF($D132&gt;0, $D132*VLOOKUP($B132,'Thông Tin Đồ Ăn'!$B$4:$G$304,3, FALSE)/100,0)</f>
        <v>0</v>
      </c>
      <c r="F132" s="50">
        <f>IF($D132&gt;0, $D132*VLOOKUP($B132,'Thông Tin Đồ Ăn'!$B$4:$G$304,4, FALSE)/100,0)</f>
        <v>0</v>
      </c>
      <c r="G132" s="50">
        <f>IF($D132&gt;0, $D132*VLOOKUP($B132,'Thông Tin Đồ Ăn'!$B$4:$G$304,5, FALSE)/100,0)</f>
        <v>0</v>
      </c>
      <c r="H132" s="130">
        <f>IF($D132&gt;0, $D132*VLOOKUP($B132,'Thông Tin Đồ Ăn'!$B$4:$G$304,6, FALSE)/100,0)</f>
        <v>0</v>
      </c>
      <c r="I132" s="54"/>
      <c r="J132" s="54"/>
    </row>
    <row r="133" spans="1:10" ht="15.75" customHeight="1" x14ac:dyDescent="0.25">
      <c r="A133" s="86"/>
      <c r="B133" s="132"/>
      <c r="C133" s="51"/>
      <c r="D133" s="133"/>
      <c r="E133" s="50">
        <f>IF($D133&gt;0, $D133*VLOOKUP($B133,'Thông Tin Đồ Ăn'!$B$4:$G$304,3, FALSE)/100,0)</f>
        <v>0</v>
      </c>
      <c r="F133" s="50">
        <f>IF($D133&gt;0, $D133*VLOOKUP($B133,'Thông Tin Đồ Ăn'!$B$4:$G$304,4, FALSE)/100,0)</f>
        <v>0</v>
      </c>
      <c r="G133" s="50">
        <f>IF($D133&gt;0, $D133*VLOOKUP($B133,'Thông Tin Đồ Ăn'!$B$4:$G$304,5, FALSE)/100,0)</f>
        <v>0</v>
      </c>
      <c r="H133" s="130">
        <f>IF($D133&gt;0, $D133*VLOOKUP($B133,'Thông Tin Đồ Ăn'!$B$4:$G$304,6, FALSE)/100,0)</f>
        <v>0</v>
      </c>
      <c r="I133" s="54"/>
      <c r="J133" s="54"/>
    </row>
    <row r="134" spans="1:10" ht="15.75" customHeight="1" x14ac:dyDescent="0.25">
      <c r="A134" s="86"/>
      <c r="B134" s="132"/>
      <c r="C134" s="51"/>
      <c r="D134" s="133"/>
      <c r="E134" s="50">
        <f>IF($D134&gt;0, $D134*VLOOKUP($B134,'Thông Tin Đồ Ăn'!$B$4:$G$304,3, FALSE)/100,0)</f>
        <v>0</v>
      </c>
      <c r="F134" s="50">
        <f>IF($D134&gt;0, $D134*VLOOKUP($B134,'Thông Tin Đồ Ăn'!$B$4:$G$304,4, FALSE)/100,0)</f>
        <v>0</v>
      </c>
      <c r="G134" s="50">
        <f>IF($D134&gt;0, $D134*VLOOKUP($B134,'Thông Tin Đồ Ăn'!$B$4:$G$304,5, FALSE)/100,0)</f>
        <v>0</v>
      </c>
      <c r="H134" s="130">
        <f>IF($D134&gt;0, $D134*VLOOKUP($B134,'Thông Tin Đồ Ăn'!$B$4:$G$304,6, FALSE)/100,0)</f>
        <v>0</v>
      </c>
      <c r="I134" s="54"/>
      <c r="J134" s="54"/>
    </row>
    <row r="135" spans="1:10" ht="15.75" customHeight="1" x14ac:dyDescent="0.25">
      <c r="A135" s="86"/>
      <c r="B135" s="132"/>
      <c r="C135" s="51"/>
      <c r="D135" s="133"/>
      <c r="E135" s="50">
        <f>IF($D135&gt;0, $D135*VLOOKUP($B135,'Thông Tin Đồ Ăn'!$B$4:$G$304,3, FALSE)/100,0)</f>
        <v>0</v>
      </c>
      <c r="F135" s="50">
        <f>IF($D135&gt;0, $D135*VLOOKUP($B135,'Thông Tin Đồ Ăn'!$B$4:$G$304,4, FALSE)/100,0)</f>
        <v>0</v>
      </c>
      <c r="G135" s="50">
        <f>IF($D135&gt;0, $D135*VLOOKUP($B135,'Thông Tin Đồ Ăn'!$B$4:$G$304,5, FALSE)/100,0)</f>
        <v>0</v>
      </c>
      <c r="H135" s="130">
        <f>IF($D135&gt;0, $D135*VLOOKUP($B135,'Thông Tin Đồ Ăn'!$B$4:$G$304,6, FALSE)/100,0)</f>
        <v>0</v>
      </c>
      <c r="I135" s="54"/>
      <c r="J135" s="54"/>
    </row>
    <row r="136" spans="1:10" ht="15.75" customHeight="1" x14ac:dyDescent="0.25">
      <c r="A136" s="86"/>
      <c r="B136" s="132"/>
      <c r="C136" s="51"/>
      <c r="D136" s="133"/>
      <c r="E136" s="50">
        <f>IF($D136&gt;0, $D136*VLOOKUP($B136,'Thông Tin Đồ Ăn'!$B$4:$G$304,3, FALSE)/100,0)</f>
        <v>0</v>
      </c>
      <c r="F136" s="50">
        <f>IF($D136&gt;0, $D136*VLOOKUP($B136,'Thông Tin Đồ Ăn'!$B$4:$G$304,4, FALSE)/100,0)</f>
        <v>0</v>
      </c>
      <c r="G136" s="50">
        <f>IF($D136&gt;0, $D136*VLOOKUP($B136,'Thông Tin Đồ Ăn'!$B$4:$G$304,5, FALSE)/100,0)</f>
        <v>0</v>
      </c>
      <c r="H136" s="130">
        <f>IF($D136&gt;0, $D136*VLOOKUP($B136,'Thông Tin Đồ Ăn'!$B$4:$G$304,6, FALSE)/100,0)</f>
        <v>0</v>
      </c>
      <c r="I136" s="54"/>
      <c r="J136" s="54"/>
    </row>
    <row r="137" spans="1:10" ht="15.75" customHeight="1" x14ac:dyDescent="0.25">
      <c r="A137" s="86"/>
      <c r="B137" s="132"/>
      <c r="C137" s="51"/>
      <c r="D137" s="133"/>
      <c r="E137" s="50">
        <f>IF($D137&gt;0, $D137*VLOOKUP($B137,'Thông Tin Đồ Ăn'!$B$4:$G$304,3, FALSE)/100,0)</f>
        <v>0</v>
      </c>
      <c r="F137" s="50">
        <f>IF($D137&gt;0, $D137*VLOOKUP($B137,'Thông Tin Đồ Ăn'!$B$4:$G$304,4, FALSE)/100,0)</f>
        <v>0</v>
      </c>
      <c r="G137" s="50">
        <f>IF($D137&gt;0, $D137*VLOOKUP($B137,'Thông Tin Đồ Ăn'!$B$4:$G$304,5, FALSE)/100,0)</f>
        <v>0</v>
      </c>
      <c r="H137" s="130">
        <f>IF($D137&gt;0, $D137*VLOOKUP($B137,'Thông Tin Đồ Ăn'!$B$4:$G$304,6, FALSE)/100,0)</f>
        <v>0</v>
      </c>
      <c r="I137" s="54"/>
      <c r="J137" s="54"/>
    </row>
    <row r="138" spans="1:10" ht="15.75" customHeight="1" x14ac:dyDescent="0.25">
      <c r="A138" s="86"/>
      <c r="B138" s="132"/>
      <c r="C138" s="51"/>
      <c r="D138" s="133"/>
      <c r="E138" s="50">
        <f>IF($D138&gt;0, $D138*VLOOKUP($B138,'Thông Tin Đồ Ăn'!$B$4:$G$304,3, FALSE)/100,0)</f>
        <v>0</v>
      </c>
      <c r="F138" s="50">
        <f>IF($D138&gt;0, $D138*VLOOKUP($B138,'Thông Tin Đồ Ăn'!$B$4:$G$304,4, FALSE)/100,0)</f>
        <v>0</v>
      </c>
      <c r="G138" s="50">
        <f>IF($D138&gt;0, $D138*VLOOKUP($B138,'Thông Tin Đồ Ăn'!$B$4:$G$304,5, FALSE)/100,0)</f>
        <v>0</v>
      </c>
      <c r="H138" s="130">
        <f>IF($D138&gt;0, $D138*VLOOKUP($B138,'Thông Tin Đồ Ăn'!$B$4:$G$304,6, FALSE)/100,0)</f>
        <v>0</v>
      </c>
      <c r="I138" s="54"/>
      <c r="J138" s="54"/>
    </row>
    <row r="139" spans="1:10" ht="15.75" customHeight="1" x14ac:dyDescent="0.25">
      <c r="A139" s="86"/>
      <c r="B139" s="132"/>
      <c r="C139" s="51"/>
      <c r="D139" s="133"/>
      <c r="E139" s="50">
        <f>IF($D139&gt;0, $D139*VLOOKUP($B139,'Thông Tin Đồ Ăn'!$B$4:$G$304,3, FALSE)/100,0)</f>
        <v>0</v>
      </c>
      <c r="F139" s="50">
        <f>IF($D139&gt;0, $D139*VLOOKUP($B139,'Thông Tin Đồ Ăn'!$B$4:$G$304,4, FALSE)/100,0)</f>
        <v>0</v>
      </c>
      <c r="G139" s="50">
        <f>IF($D139&gt;0, $D139*VLOOKUP($B139,'Thông Tin Đồ Ăn'!$B$4:$G$304,5, FALSE)/100,0)</f>
        <v>0</v>
      </c>
      <c r="H139" s="130">
        <f>IF($D139&gt;0, $D139*VLOOKUP($B139,'Thông Tin Đồ Ăn'!$B$4:$G$304,6, FALSE)/100,0)</f>
        <v>0</v>
      </c>
      <c r="I139" s="54"/>
      <c r="J139" s="54"/>
    </row>
    <row r="140" spans="1:10" ht="15.75" customHeight="1" x14ac:dyDescent="0.25">
      <c r="A140" s="86"/>
      <c r="B140" s="132"/>
      <c r="C140" s="51"/>
      <c r="D140" s="133"/>
      <c r="E140" s="50">
        <f>IF($D140&gt;0, $D140*VLOOKUP($B140,'Thông Tin Đồ Ăn'!$B$4:$G$304,3, FALSE)/100,0)</f>
        <v>0</v>
      </c>
      <c r="F140" s="50">
        <f>IF($D140&gt;0, $D140*VLOOKUP($B140,'Thông Tin Đồ Ăn'!$B$4:$G$304,4, FALSE)/100,0)</f>
        <v>0</v>
      </c>
      <c r="G140" s="50">
        <f>IF($D140&gt;0, $D140*VLOOKUP($B140,'Thông Tin Đồ Ăn'!$B$4:$G$304,5, FALSE)/100,0)</f>
        <v>0</v>
      </c>
      <c r="H140" s="130">
        <f>IF($D140&gt;0, $D140*VLOOKUP($B140,'Thông Tin Đồ Ăn'!$B$4:$G$304,6, FALSE)/100,0)</f>
        <v>0</v>
      </c>
    </row>
    <row r="141" spans="1:10" ht="15.75" customHeight="1" x14ac:dyDescent="0.25">
      <c r="A141" s="86"/>
      <c r="B141" s="132"/>
      <c r="C141" s="51"/>
      <c r="D141" s="133"/>
      <c r="E141" s="50">
        <f>IF($D141&gt;0, $D141*VLOOKUP($B141,'Thông Tin Đồ Ăn'!$B$4:$G$304,3, FALSE)/100,0)</f>
        <v>0</v>
      </c>
      <c r="F141" s="50">
        <f>IF($D141&gt;0, $D141*VLOOKUP($B141,'Thông Tin Đồ Ăn'!$B$4:$G$304,4, FALSE)/100,0)</f>
        <v>0</v>
      </c>
      <c r="G141" s="50">
        <f>IF($D141&gt;0, $D141*VLOOKUP($B141,'Thông Tin Đồ Ăn'!$B$4:$G$304,5, FALSE)/100,0)</f>
        <v>0</v>
      </c>
      <c r="H141" s="130">
        <f>IF($D141&gt;0, $D141*VLOOKUP($B141,'Thông Tin Đồ Ăn'!$B$4:$G$304,6, FALSE)/100,0)</f>
        <v>0</v>
      </c>
    </row>
    <row r="142" spans="1:10" ht="15.75" customHeight="1" x14ac:dyDescent="0.25">
      <c r="A142" s="86"/>
      <c r="B142" s="132"/>
      <c r="C142" s="51"/>
      <c r="D142" s="133"/>
      <c r="E142" s="50">
        <f>IF($D142&gt;0, $D142*VLOOKUP($B142,'Thông Tin Đồ Ăn'!$B$4:$G$304,3, FALSE)/100,0)</f>
        <v>0</v>
      </c>
      <c r="F142" s="50">
        <f>IF($D142&gt;0, $D142*VLOOKUP($B142,'Thông Tin Đồ Ăn'!$B$4:$G$304,4, FALSE)/100,0)</f>
        <v>0</v>
      </c>
      <c r="G142" s="50">
        <f>IF($D142&gt;0, $D142*VLOOKUP($B142,'Thông Tin Đồ Ăn'!$B$4:$G$304,5, FALSE)/100,0)</f>
        <v>0</v>
      </c>
      <c r="H142" s="130">
        <f>IF($D142&gt;0, $D142*VLOOKUP($B142,'Thông Tin Đồ Ăn'!$B$4:$G$304,6, FALSE)/100,0)</f>
        <v>0</v>
      </c>
    </row>
    <row r="143" spans="1:10" ht="15.75" customHeight="1" x14ac:dyDescent="0.25">
      <c r="A143" s="86"/>
      <c r="B143" s="132"/>
      <c r="C143" s="51"/>
      <c r="D143" s="133"/>
      <c r="E143" s="50">
        <f>IF($D143&gt;0, $D143*VLOOKUP($B143,'Thông Tin Đồ Ăn'!$B$4:$G$304,3, FALSE)/100,0)</f>
        <v>0</v>
      </c>
      <c r="F143" s="50">
        <f>IF($D143&gt;0, $D143*VLOOKUP($B143,'Thông Tin Đồ Ăn'!$B$4:$G$304,4, FALSE)/100,0)</f>
        <v>0</v>
      </c>
      <c r="G143" s="50">
        <f>IF($D143&gt;0, $D143*VLOOKUP($B143,'Thông Tin Đồ Ăn'!$B$4:$G$304,5, FALSE)/100,0)</f>
        <v>0</v>
      </c>
      <c r="H143" s="130">
        <f>IF($D143&gt;0, $D143*VLOOKUP($B143,'Thông Tin Đồ Ăn'!$B$4:$G$304,6, FALSE)/100,0)</f>
        <v>0</v>
      </c>
    </row>
    <row r="144" spans="1:10" ht="15.75" customHeight="1" x14ac:dyDescent="0.25">
      <c r="A144" s="86"/>
      <c r="B144" s="132"/>
      <c r="C144" s="51"/>
      <c r="D144" s="133"/>
      <c r="E144" s="50">
        <f>IF($D144&gt;0, $D144*VLOOKUP($B144,'Thông Tin Đồ Ăn'!$B$4:$G$304,3, FALSE)/100,0)</f>
        <v>0</v>
      </c>
      <c r="F144" s="50">
        <f>IF($D144&gt;0, $D144*VLOOKUP($B144,'Thông Tin Đồ Ăn'!$B$4:$G$304,4, FALSE)/100,0)</f>
        <v>0</v>
      </c>
      <c r="G144" s="50">
        <f>IF($D144&gt;0, $D144*VLOOKUP($B144,'Thông Tin Đồ Ăn'!$B$4:$G$304,5, FALSE)/100,0)</f>
        <v>0</v>
      </c>
      <c r="H144" s="130">
        <f>IF($D144&gt;0, $D144*VLOOKUP($B144,'Thông Tin Đồ Ăn'!$B$4:$G$304,6, FALSE)/100,0)</f>
        <v>0</v>
      </c>
    </row>
    <row r="145" spans="1:8" ht="15.75" customHeight="1" x14ac:dyDescent="0.25">
      <c r="A145" s="86"/>
      <c r="B145" s="132"/>
      <c r="C145" s="51"/>
      <c r="D145" s="133"/>
      <c r="E145" s="50">
        <f>IF($D145&gt;0, $D145*VLOOKUP($B145,'Thông Tin Đồ Ăn'!$B$4:$G$304,3, FALSE)/100,0)</f>
        <v>0</v>
      </c>
      <c r="F145" s="50">
        <f>IF($D145&gt;0, $D145*VLOOKUP($B145,'Thông Tin Đồ Ăn'!$B$4:$G$304,4, FALSE)/100,0)</f>
        <v>0</v>
      </c>
      <c r="G145" s="50">
        <f>IF($D145&gt;0, $D145*VLOOKUP($B145,'Thông Tin Đồ Ăn'!$B$4:$G$304,5, FALSE)/100,0)</f>
        <v>0</v>
      </c>
      <c r="H145" s="130">
        <f>IF($D145&gt;0, $D145*VLOOKUP($B145,'Thông Tin Đồ Ăn'!$B$4:$G$304,6, FALSE)/100,0)</f>
        <v>0</v>
      </c>
    </row>
    <row r="146" spans="1:8" ht="15.75" customHeight="1" x14ac:dyDescent="0.25">
      <c r="A146" s="86"/>
      <c r="B146" s="132"/>
      <c r="C146" s="51"/>
      <c r="D146" s="133"/>
      <c r="E146" s="50">
        <f>IF($D146&gt;0, $D146*VLOOKUP($B146,'Thông Tin Đồ Ăn'!$B$4:$G$304,3, FALSE)/100,0)</f>
        <v>0</v>
      </c>
      <c r="F146" s="50">
        <f>IF($D146&gt;0, $D146*VLOOKUP($B146,'Thông Tin Đồ Ăn'!$B$4:$G$304,4, FALSE)/100,0)</f>
        <v>0</v>
      </c>
      <c r="G146" s="50">
        <f>IF($D146&gt;0, $D146*VLOOKUP($B146,'Thông Tin Đồ Ăn'!$B$4:$G$304,5, FALSE)/100,0)</f>
        <v>0</v>
      </c>
      <c r="H146" s="130">
        <f>IF($D146&gt;0, $D146*VLOOKUP($B146,'Thông Tin Đồ Ăn'!$B$4:$G$304,6, FALSE)/100,0)</f>
        <v>0</v>
      </c>
    </row>
    <row r="147" spans="1:8" ht="15.75" customHeight="1" x14ac:dyDescent="0.25">
      <c r="A147" s="86"/>
      <c r="B147" s="132"/>
      <c r="C147" s="51"/>
      <c r="D147" s="133"/>
      <c r="E147" s="50">
        <f>IF($D147&gt;0, $D147*VLOOKUP($B147,'Thông Tin Đồ Ăn'!$B$4:$G$304,3, FALSE)/100,0)</f>
        <v>0</v>
      </c>
      <c r="F147" s="50">
        <f>IF($D147&gt;0, $D147*VLOOKUP($B147,'Thông Tin Đồ Ăn'!$B$4:$G$304,4, FALSE)/100,0)</f>
        <v>0</v>
      </c>
      <c r="G147" s="50">
        <f>IF($D147&gt;0, $D147*VLOOKUP($B147,'Thông Tin Đồ Ăn'!$B$4:$G$304,5, FALSE)/100,0)</f>
        <v>0</v>
      </c>
      <c r="H147" s="130">
        <f>IF($D147&gt;0, $D147*VLOOKUP($B147,'Thông Tin Đồ Ăn'!$B$4:$G$304,6, FALSE)/100,0)</f>
        <v>0</v>
      </c>
    </row>
    <row r="148" spans="1:8" ht="15.75" customHeight="1" x14ac:dyDescent="0.25">
      <c r="A148" s="86"/>
      <c r="B148" s="132"/>
      <c r="C148" s="51"/>
      <c r="D148" s="133"/>
      <c r="E148" s="50">
        <f>IF($D148&gt;0, $D148*VLOOKUP($B148,'Thông Tin Đồ Ăn'!$B$4:$G$304,3, FALSE)/100,0)</f>
        <v>0</v>
      </c>
      <c r="F148" s="50">
        <f>IF($D148&gt;0, $D148*VLOOKUP($B148,'Thông Tin Đồ Ăn'!$B$4:$G$304,4, FALSE)/100,0)</f>
        <v>0</v>
      </c>
      <c r="G148" s="50">
        <f>IF($D148&gt;0, $D148*VLOOKUP($B148,'Thông Tin Đồ Ăn'!$B$4:$G$304,5, FALSE)/100,0)</f>
        <v>0</v>
      </c>
      <c r="H148" s="130">
        <f>IF($D148&gt;0, $D148*VLOOKUP($B148,'Thông Tin Đồ Ăn'!$B$4:$G$304,6, FALSE)/100,0)</f>
        <v>0</v>
      </c>
    </row>
    <row r="149" spans="1:8" ht="15.75" customHeight="1" x14ac:dyDescent="0.25">
      <c r="A149" s="86"/>
      <c r="B149" s="132"/>
      <c r="C149" s="51"/>
      <c r="D149" s="133"/>
      <c r="E149" s="50">
        <f>IF($D149&gt;0, $D149*VLOOKUP($B149,'Thông Tin Đồ Ăn'!$B$4:$G$304,3, FALSE)/100,0)</f>
        <v>0</v>
      </c>
      <c r="F149" s="50">
        <f>IF($D149&gt;0, $D149*VLOOKUP($B149,'Thông Tin Đồ Ăn'!$B$4:$G$304,4, FALSE)/100,0)</f>
        <v>0</v>
      </c>
      <c r="G149" s="50">
        <f>IF($D149&gt;0, $D149*VLOOKUP($B149,'Thông Tin Đồ Ăn'!$B$4:$G$304,5, FALSE)/100,0)</f>
        <v>0</v>
      </c>
      <c r="H149" s="130">
        <f>IF($D149&gt;0, $D149*VLOOKUP($B149,'Thông Tin Đồ Ăn'!$B$4:$G$304,6, FALSE)/100,0)</f>
        <v>0</v>
      </c>
    </row>
    <row r="150" spans="1:8" ht="15.75" customHeight="1" x14ac:dyDescent="0.25">
      <c r="A150" s="86"/>
      <c r="B150" s="132"/>
      <c r="C150" s="51"/>
      <c r="D150" s="133"/>
      <c r="E150" s="50">
        <f>IF($D150&gt;0, $D150*VLOOKUP($B150,'Thông Tin Đồ Ăn'!$B$4:$G$304,3, FALSE)/100,0)</f>
        <v>0</v>
      </c>
      <c r="F150" s="50">
        <f>IF($D150&gt;0, $D150*VLOOKUP($B150,'Thông Tin Đồ Ăn'!$B$4:$G$304,4, FALSE)/100,0)</f>
        <v>0</v>
      </c>
      <c r="G150" s="50">
        <f>IF($D150&gt;0, $D150*VLOOKUP($B150,'Thông Tin Đồ Ăn'!$B$4:$G$304,5, FALSE)/100,0)</f>
        <v>0</v>
      </c>
      <c r="H150" s="130">
        <f>IF($D150&gt;0, $D150*VLOOKUP($B150,'Thông Tin Đồ Ăn'!$B$4:$G$304,6, FALSE)/100,0)</f>
        <v>0</v>
      </c>
    </row>
    <row r="151" spans="1:8" ht="15.75" customHeight="1" x14ac:dyDescent="0.25">
      <c r="A151" s="86"/>
      <c r="B151" s="132"/>
      <c r="C151" s="51"/>
      <c r="D151" s="133"/>
      <c r="E151" s="50">
        <f>IF($D151&gt;0, $D151*VLOOKUP($B151,'Thông Tin Đồ Ăn'!$B$4:$G$304,3, FALSE)/100,0)</f>
        <v>0</v>
      </c>
      <c r="F151" s="50">
        <f>IF($D151&gt;0, $D151*VLOOKUP($B151,'Thông Tin Đồ Ăn'!$B$4:$G$304,4, FALSE)/100,0)</f>
        <v>0</v>
      </c>
      <c r="G151" s="50">
        <f>IF($D151&gt;0, $D151*VLOOKUP($B151,'Thông Tin Đồ Ăn'!$B$4:$G$304,5, FALSE)/100,0)</f>
        <v>0</v>
      </c>
      <c r="H151" s="130">
        <f>IF($D151&gt;0, $D151*VLOOKUP($B151,'Thông Tin Đồ Ăn'!$B$4:$G$304,6, FALSE)/100,0)</f>
        <v>0</v>
      </c>
    </row>
    <row r="152" spans="1:8" ht="15.75" customHeight="1" x14ac:dyDescent="0.25">
      <c r="A152" s="86"/>
      <c r="B152" s="132"/>
      <c r="C152" s="51"/>
      <c r="D152" s="133"/>
      <c r="E152" s="50">
        <f>IF($D152&gt;0, $D152*VLOOKUP($B152,'Thông Tin Đồ Ăn'!$B$4:$G$304,3, FALSE)/100,0)</f>
        <v>0</v>
      </c>
      <c r="F152" s="50">
        <f>IF($D152&gt;0, $D152*VLOOKUP($B152,'Thông Tin Đồ Ăn'!$B$4:$G$304,4, FALSE)/100,0)</f>
        <v>0</v>
      </c>
      <c r="G152" s="50">
        <f>IF($D152&gt;0, $D152*VLOOKUP($B152,'Thông Tin Đồ Ăn'!$B$4:$G$304,5, FALSE)/100,0)</f>
        <v>0</v>
      </c>
      <c r="H152" s="130">
        <f>IF($D152&gt;0, $D152*VLOOKUP($B152,'Thông Tin Đồ Ăn'!$B$4:$G$304,6, FALSE)/100,0)</f>
        <v>0</v>
      </c>
    </row>
    <row r="153" spans="1:8" ht="15.75" customHeight="1" x14ac:dyDescent="0.25">
      <c r="A153" s="86"/>
      <c r="B153" s="132"/>
      <c r="C153" s="51"/>
      <c r="D153" s="133"/>
      <c r="E153" s="50">
        <f>IF($D153&gt;0, $D153*VLOOKUP($B153,'Thông Tin Đồ Ăn'!$B$4:$G$304,3, FALSE)/100,0)</f>
        <v>0</v>
      </c>
      <c r="F153" s="50">
        <f>IF($D153&gt;0, $D153*VLOOKUP($B153,'Thông Tin Đồ Ăn'!$B$4:$G$304,4, FALSE)/100,0)</f>
        <v>0</v>
      </c>
      <c r="G153" s="50">
        <f>IF($D153&gt;0, $D153*VLOOKUP($B153,'Thông Tin Đồ Ăn'!$B$4:$G$304,5, FALSE)/100,0)</f>
        <v>0</v>
      </c>
      <c r="H153" s="130">
        <f>IF($D153&gt;0, $D153*VLOOKUP($B153,'Thông Tin Đồ Ăn'!$B$4:$G$304,6, FALSE)/100,0)</f>
        <v>0</v>
      </c>
    </row>
    <row r="154" spans="1:8" ht="15.75" customHeight="1" x14ac:dyDescent="0.25">
      <c r="A154" s="86"/>
      <c r="B154" s="132"/>
      <c r="C154" s="51"/>
      <c r="D154" s="133"/>
      <c r="E154" s="50">
        <f>IF($D154&gt;0, $D154*VLOOKUP($B154,'Thông Tin Đồ Ăn'!$B$4:$G$304,3, FALSE)/100,0)</f>
        <v>0</v>
      </c>
      <c r="F154" s="50">
        <f>IF($D154&gt;0, $D154*VLOOKUP($B154,'Thông Tin Đồ Ăn'!$B$4:$G$304,4, FALSE)/100,0)</f>
        <v>0</v>
      </c>
      <c r="G154" s="50">
        <f>IF($D154&gt;0, $D154*VLOOKUP($B154,'Thông Tin Đồ Ăn'!$B$4:$G$304,5, FALSE)/100,0)</f>
        <v>0</v>
      </c>
      <c r="H154" s="130">
        <f>IF($D154&gt;0, $D154*VLOOKUP($B154,'Thông Tin Đồ Ăn'!$B$4:$G$304,6, FALSE)/100,0)</f>
        <v>0</v>
      </c>
    </row>
    <row r="155" spans="1:8" ht="15.75" customHeight="1" x14ac:dyDescent="0.25">
      <c r="A155" s="86"/>
      <c r="B155" s="132"/>
      <c r="C155" s="51"/>
      <c r="D155" s="133"/>
      <c r="E155" s="50">
        <f>IF($D155&gt;0, $D155*VLOOKUP($B155,'Thông Tin Đồ Ăn'!$B$4:$G$304,3, FALSE)/100,0)</f>
        <v>0</v>
      </c>
      <c r="F155" s="50">
        <f>IF($D155&gt;0, $D155*VLOOKUP($B155,'Thông Tin Đồ Ăn'!$B$4:$G$304,4, FALSE)/100,0)</f>
        <v>0</v>
      </c>
      <c r="G155" s="50">
        <f>IF($D155&gt;0, $D155*VLOOKUP($B155,'Thông Tin Đồ Ăn'!$B$4:$G$304,5, FALSE)/100,0)</f>
        <v>0</v>
      </c>
      <c r="H155" s="130">
        <f>IF($D155&gt;0, $D155*VLOOKUP($B155,'Thông Tin Đồ Ăn'!$B$4:$G$304,6, FALSE)/100,0)</f>
        <v>0</v>
      </c>
    </row>
    <row r="156" spans="1:8" ht="15.75" customHeight="1" thickBot="1" x14ac:dyDescent="0.3">
      <c r="A156" s="86"/>
      <c r="B156" s="135"/>
      <c r="C156" s="136"/>
      <c r="D156" s="137"/>
      <c r="E156" s="138">
        <f>IF($D156&gt;0, $D156*VLOOKUP($B156,'Thông Tin Đồ Ăn'!$B$4:$G$304,3, FALSE)/100,0)</f>
        <v>0</v>
      </c>
      <c r="F156" s="138">
        <f>IF($D156&gt;0, $D156*VLOOKUP($B156,'Thông Tin Đồ Ăn'!$B$4:$G$304,4, FALSE)/100,0)</f>
        <v>0</v>
      </c>
      <c r="G156" s="138">
        <f>IF($D156&gt;0, $D156*VLOOKUP($B156,'Thông Tin Đồ Ăn'!$B$4:$G$304,5, FALSE)/100,0)</f>
        <v>0</v>
      </c>
      <c r="H156" s="139">
        <f>IF($D156&gt;0, $D156*VLOOKUP($B156,'Thông Tin Đồ Ăn'!$B$4:$G$304,6, FALSE)/100,0)</f>
        <v>0</v>
      </c>
    </row>
    <row r="157" spans="1:8" ht="15.75" customHeight="1" x14ac:dyDescent="0.25">
      <c r="C157" s="35"/>
    </row>
    <row r="158" spans="1:8" ht="15.75" customHeight="1" x14ac:dyDescent="0.25">
      <c r="C158" s="35"/>
    </row>
    <row r="159" spans="1:8" ht="15.75" customHeight="1" x14ac:dyDescent="0.25">
      <c r="C159" s="35"/>
    </row>
    <row r="160" spans="1:8" ht="15.75" customHeight="1" x14ac:dyDescent="0.25">
      <c r="C160" s="35"/>
    </row>
    <row r="161" spans="3:3" ht="15.75" customHeight="1" x14ac:dyDescent="0.25">
      <c r="C161" s="35"/>
    </row>
    <row r="162" spans="3:3" ht="15.75" customHeight="1" x14ac:dyDescent="0.25">
      <c r="C162" s="35"/>
    </row>
    <row r="163" spans="3:3" ht="15.75" customHeight="1" x14ac:dyDescent="0.25">
      <c r="C163" s="35"/>
    </row>
    <row r="164" spans="3:3" ht="15.75" customHeight="1" x14ac:dyDescent="0.25">
      <c r="C164" s="35"/>
    </row>
    <row r="165" spans="3:3" ht="15.75" customHeight="1" x14ac:dyDescent="0.25">
      <c r="C165" s="35"/>
    </row>
    <row r="166" spans="3:3" ht="15.75" customHeight="1" x14ac:dyDescent="0.25">
      <c r="C166" s="35"/>
    </row>
    <row r="167" spans="3:3" ht="15.75" customHeight="1" x14ac:dyDescent="0.25">
      <c r="C167" s="35"/>
    </row>
    <row r="168" spans="3:3" ht="15.75" customHeight="1" x14ac:dyDescent="0.25">
      <c r="C168" s="35"/>
    </row>
    <row r="169" spans="3:3" ht="15.75" customHeight="1" x14ac:dyDescent="0.25">
      <c r="C169" s="35"/>
    </row>
    <row r="170" spans="3:3" ht="15.75" customHeight="1" x14ac:dyDescent="0.25">
      <c r="C170" s="35"/>
    </row>
    <row r="171" spans="3:3" ht="15.75" customHeight="1" x14ac:dyDescent="0.25">
      <c r="C171" s="35"/>
    </row>
    <row r="172" spans="3:3" ht="15.75" customHeight="1" x14ac:dyDescent="0.25">
      <c r="C172" s="35"/>
    </row>
    <row r="173" spans="3:3" ht="15.75" customHeight="1" x14ac:dyDescent="0.25">
      <c r="C173" s="35"/>
    </row>
    <row r="174" spans="3:3" ht="15.75" customHeight="1" x14ac:dyDescent="0.25">
      <c r="C174" s="35"/>
    </row>
    <row r="175" spans="3:3" ht="15.75" customHeight="1" x14ac:dyDescent="0.25">
      <c r="C175" s="35"/>
    </row>
    <row r="176" spans="3:3" ht="15.75" customHeight="1" x14ac:dyDescent="0.25">
      <c r="C176" s="35"/>
    </row>
    <row r="177" spans="3:9" ht="15.75" customHeight="1" x14ac:dyDescent="0.25">
      <c r="C177" s="35"/>
    </row>
    <row r="178" spans="3:9" ht="15.75" customHeight="1" x14ac:dyDescent="0.25">
      <c r="C178" s="35"/>
    </row>
    <row r="179" spans="3:9" ht="15.75" customHeight="1" x14ac:dyDescent="0.25">
      <c r="C179" s="35"/>
    </row>
    <row r="180" spans="3:9" ht="15.75" customHeight="1" x14ac:dyDescent="0.25">
      <c r="C180" s="35"/>
    </row>
    <row r="181" spans="3:9" ht="15.75" customHeight="1" x14ac:dyDescent="0.25">
      <c r="C181" s="35"/>
    </row>
    <row r="182" spans="3:9" ht="15.75" customHeight="1" x14ac:dyDescent="0.25">
      <c r="C182" s="35"/>
      <c r="I182" s="54"/>
    </row>
    <row r="183" spans="3:9" ht="15.75" customHeight="1" x14ac:dyDescent="0.25">
      <c r="C183" s="35"/>
      <c r="I183" s="54"/>
    </row>
    <row r="184" spans="3:9" ht="15.75" customHeight="1" x14ac:dyDescent="0.25">
      <c r="C184" s="35"/>
      <c r="I184" s="58"/>
    </row>
    <row r="185" spans="3:9" ht="15.75" customHeight="1" x14ac:dyDescent="0.25">
      <c r="C185" s="35"/>
      <c r="I185" s="54"/>
    </row>
    <row r="186" spans="3:9" ht="15.75" customHeight="1" x14ac:dyDescent="0.25">
      <c r="C186" s="35"/>
      <c r="I186" s="54"/>
    </row>
    <row r="187" spans="3:9" ht="15.75" customHeight="1" x14ac:dyDescent="0.25">
      <c r="C187" s="35"/>
      <c r="I187" s="54"/>
    </row>
    <row r="188" spans="3:9" ht="15.75" customHeight="1" x14ac:dyDescent="0.25">
      <c r="C188" s="35"/>
      <c r="I188" s="54"/>
    </row>
    <row r="189" spans="3:9" ht="15.75" customHeight="1" x14ac:dyDescent="0.25">
      <c r="C189" s="35"/>
      <c r="I189" s="54"/>
    </row>
    <row r="190" spans="3:9" ht="15.75" customHeight="1" x14ac:dyDescent="0.25">
      <c r="C190" s="35"/>
      <c r="I190" s="54"/>
    </row>
    <row r="191" spans="3:9" ht="15.75" customHeight="1" x14ac:dyDescent="0.25">
      <c r="C191" s="35"/>
    </row>
    <row r="192" spans="3:9" ht="15.75" customHeight="1" x14ac:dyDescent="0.25">
      <c r="C192" s="35"/>
    </row>
    <row r="193" spans="3:3" ht="15.75" customHeight="1" x14ac:dyDescent="0.25">
      <c r="C193" s="35"/>
    </row>
    <row r="194" spans="3:3" ht="15.75" customHeight="1" x14ac:dyDescent="0.25">
      <c r="C194" s="35"/>
    </row>
    <row r="195" spans="3:3" ht="15.75" customHeight="1" x14ac:dyDescent="0.25">
      <c r="C195" s="35"/>
    </row>
    <row r="196" spans="3:3" ht="15.75" customHeight="1" x14ac:dyDescent="0.25">
      <c r="C196" s="35"/>
    </row>
    <row r="197" spans="3:3" ht="15.75" customHeight="1" x14ac:dyDescent="0.25">
      <c r="C197" s="35"/>
    </row>
    <row r="198" spans="3:3" ht="15.75" customHeight="1" x14ac:dyDescent="0.25">
      <c r="C198" s="35"/>
    </row>
    <row r="199" spans="3:3" ht="15.75" customHeight="1" x14ac:dyDescent="0.25">
      <c r="C199" s="35"/>
    </row>
    <row r="200" spans="3:3" ht="15.75" customHeight="1" x14ac:dyDescent="0.25">
      <c r="C200" s="35"/>
    </row>
    <row r="201" spans="3:3" ht="15.75" customHeight="1" x14ac:dyDescent="0.25">
      <c r="C201" s="35"/>
    </row>
    <row r="202" spans="3:3" ht="15.75" customHeight="1" x14ac:dyDescent="0.25">
      <c r="C202" s="35"/>
    </row>
    <row r="203" spans="3:3" ht="15.75" customHeight="1" x14ac:dyDescent="0.25">
      <c r="C203" s="35"/>
    </row>
    <row r="204" spans="3:3" ht="15.75" customHeight="1" x14ac:dyDescent="0.25">
      <c r="C204" s="35"/>
    </row>
    <row r="205" spans="3:3" ht="15.75" customHeight="1" x14ac:dyDescent="0.25">
      <c r="C205" s="35"/>
    </row>
    <row r="206" spans="3:3" ht="15.75" customHeight="1" x14ac:dyDescent="0.25">
      <c r="C206" s="35"/>
    </row>
    <row r="207" spans="3:3" ht="15.75" customHeight="1" x14ac:dyDescent="0.25">
      <c r="C207" s="35"/>
    </row>
    <row r="208" spans="3:3" ht="15.75" customHeight="1" x14ac:dyDescent="0.25">
      <c r="C208" s="35"/>
    </row>
    <row r="209" spans="3:3" ht="15.75" customHeight="1" x14ac:dyDescent="0.25">
      <c r="C209" s="35"/>
    </row>
    <row r="210" spans="3:3" ht="15.75" customHeight="1" x14ac:dyDescent="0.25">
      <c r="C210" s="35"/>
    </row>
    <row r="211" spans="3:3" ht="15.75" customHeight="1" x14ac:dyDescent="0.25">
      <c r="C211" s="35"/>
    </row>
    <row r="212" spans="3:3" ht="15.75" customHeight="1" x14ac:dyDescent="0.25">
      <c r="C212" s="35"/>
    </row>
    <row r="213" spans="3:3" ht="15.75" customHeight="1" x14ac:dyDescent="0.25">
      <c r="C213" s="35"/>
    </row>
    <row r="214" spans="3:3" ht="15.75" customHeight="1" x14ac:dyDescent="0.25">
      <c r="C214" s="35"/>
    </row>
    <row r="215" spans="3:3" ht="15.75" customHeight="1" x14ac:dyDescent="0.25">
      <c r="C215" s="35"/>
    </row>
    <row r="216" spans="3:3" ht="15.75" customHeight="1" x14ac:dyDescent="0.25">
      <c r="C216" s="35"/>
    </row>
    <row r="217" spans="3:3" ht="15.75" customHeight="1" x14ac:dyDescent="0.25">
      <c r="C217" s="35"/>
    </row>
    <row r="218" spans="3:3" ht="15.75" customHeight="1" x14ac:dyDescent="0.25">
      <c r="C218" s="35"/>
    </row>
    <row r="219" spans="3:3" ht="15.75" customHeight="1" x14ac:dyDescent="0.25">
      <c r="C219" s="35"/>
    </row>
    <row r="220" spans="3:3" ht="15.75" customHeight="1" x14ac:dyDescent="0.25">
      <c r="C220" s="35"/>
    </row>
    <row r="221" spans="3:3" ht="15.75" customHeight="1" x14ac:dyDescent="0.25">
      <c r="C221" s="35"/>
    </row>
    <row r="222" spans="3:3" ht="15.75" customHeight="1" x14ac:dyDescent="0.25">
      <c r="C222" s="35"/>
    </row>
    <row r="223" spans="3:3" ht="15.75" customHeight="1" x14ac:dyDescent="0.25">
      <c r="C223" s="35"/>
    </row>
    <row r="224" spans="3:3" ht="15.75" customHeight="1" x14ac:dyDescent="0.25">
      <c r="C224" s="35"/>
    </row>
    <row r="225" spans="3:3" ht="15.75" customHeight="1" x14ac:dyDescent="0.25">
      <c r="C225" s="35"/>
    </row>
    <row r="226" spans="3:3" ht="15.75" customHeight="1" x14ac:dyDescent="0.25">
      <c r="C226" s="35"/>
    </row>
    <row r="227" spans="3:3" ht="15.75" customHeight="1" x14ac:dyDescent="0.25">
      <c r="C227" s="35"/>
    </row>
    <row r="228" spans="3:3" ht="15.75" customHeight="1" x14ac:dyDescent="0.25">
      <c r="C228" s="35"/>
    </row>
    <row r="229" spans="3:3" ht="15.75" customHeight="1" x14ac:dyDescent="0.25">
      <c r="C229" s="35"/>
    </row>
    <row r="230" spans="3:3" ht="15.75" customHeight="1" x14ac:dyDescent="0.25">
      <c r="C230" s="35"/>
    </row>
    <row r="231" spans="3:3" ht="15.75" customHeight="1" x14ac:dyDescent="0.25">
      <c r="C231" s="35"/>
    </row>
    <row r="232" spans="3:3" ht="15.75" customHeight="1" x14ac:dyDescent="0.25">
      <c r="C232" s="35"/>
    </row>
    <row r="233" spans="3:3" ht="15.75" customHeight="1" x14ac:dyDescent="0.25">
      <c r="C233" s="35"/>
    </row>
    <row r="234" spans="3:3" ht="15.75" customHeight="1" x14ac:dyDescent="0.25">
      <c r="C234" s="35"/>
    </row>
    <row r="235" spans="3:3" ht="15.75" customHeight="1" x14ac:dyDescent="0.25">
      <c r="C235" s="35"/>
    </row>
    <row r="236" spans="3:3" ht="15.75" customHeight="1" x14ac:dyDescent="0.25">
      <c r="C236" s="35"/>
    </row>
    <row r="237" spans="3:3" ht="15.75" customHeight="1" x14ac:dyDescent="0.25">
      <c r="C237" s="35"/>
    </row>
    <row r="238" spans="3:3" ht="15.75" customHeight="1" x14ac:dyDescent="0.25">
      <c r="C238" s="35"/>
    </row>
    <row r="239" spans="3:3" ht="15.75" customHeight="1" x14ac:dyDescent="0.25">
      <c r="C239" s="35"/>
    </row>
    <row r="240" spans="3:3" ht="15.75" customHeight="1" x14ac:dyDescent="0.25">
      <c r="C240" s="35"/>
    </row>
    <row r="241" spans="3:3" ht="15.75" customHeight="1" x14ac:dyDescent="0.25">
      <c r="C241" s="35"/>
    </row>
    <row r="242" spans="3:3" ht="15.75" customHeight="1" x14ac:dyDescent="0.25">
      <c r="C242" s="35"/>
    </row>
    <row r="243" spans="3:3" ht="15.75" customHeight="1" x14ac:dyDescent="0.25">
      <c r="C243" s="35"/>
    </row>
    <row r="244" spans="3:3" ht="15.75" customHeight="1" x14ac:dyDescent="0.25">
      <c r="C244" s="35"/>
    </row>
    <row r="245" spans="3:3" ht="15.75" customHeight="1" x14ac:dyDescent="0.25">
      <c r="C245" s="35"/>
    </row>
    <row r="246" spans="3:3" ht="15.75" customHeight="1" x14ac:dyDescent="0.25">
      <c r="C246" s="35"/>
    </row>
    <row r="247" spans="3:3" ht="15.75" customHeight="1" x14ac:dyDescent="0.25">
      <c r="C247" s="35"/>
    </row>
    <row r="248" spans="3:3" ht="15.75" customHeight="1" x14ac:dyDescent="0.25">
      <c r="C248" s="35"/>
    </row>
    <row r="249" spans="3:3" ht="15.75" customHeight="1" x14ac:dyDescent="0.25">
      <c r="C249" s="35"/>
    </row>
    <row r="250" spans="3:3" ht="15.75" customHeight="1" x14ac:dyDescent="0.25">
      <c r="C250" s="35"/>
    </row>
    <row r="251" spans="3:3" ht="15.75" customHeight="1" x14ac:dyDescent="0.25">
      <c r="C251" s="35"/>
    </row>
    <row r="252" spans="3:3" ht="15.75" customHeight="1" x14ac:dyDescent="0.25">
      <c r="C252" s="35"/>
    </row>
    <row r="253" spans="3:3" ht="15.75" customHeight="1" x14ac:dyDescent="0.25">
      <c r="C253" s="35"/>
    </row>
    <row r="254" spans="3:3" ht="15.75" customHeight="1" x14ac:dyDescent="0.25">
      <c r="C254" s="35"/>
    </row>
    <row r="255" spans="3:3" ht="15.75" customHeight="1" x14ac:dyDescent="0.25">
      <c r="C255" s="35"/>
    </row>
    <row r="256" spans="3:3" ht="15.75" customHeight="1" x14ac:dyDescent="0.25">
      <c r="C256" s="35"/>
    </row>
    <row r="257" spans="3:3" ht="15.75" customHeight="1" x14ac:dyDescent="0.25">
      <c r="C257" s="35"/>
    </row>
    <row r="258" spans="3:3" ht="15.75" customHeight="1" x14ac:dyDescent="0.25">
      <c r="C258" s="35"/>
    </row>
    <row r="259" spans="3:3" ht="15.75" customHeight="1" x14ac:dyDescent="0.25">
      <c r="C259" s="35"/>
    </row>
    <row r="260" spans="3:3" ht="15.75" customHeight="1" x14ac:dyDescent="0.25">
      <c r="C260" s="35"/>
    </row>
    <row r="261" spans="3:3" ht="15.75" customHeight="1" x14ac:dyDescent="0.25">
      <c r="C261" s="35"/>
    </row>
    <row r="262" spans="3:3" ht="15.75" customHeight="1" x14ac:dyDescent="0.25">
      <c r="C262" s="35"/>
    </row>
    <row r="263" spans="3:3" ht="15.75" customHeight="1" x14ac:dyDescent="0.25">
      <c r="C263" s="35"/>
    </row>
    <row r="264" spans="3:3" ht="15.75" customHeight="1" x14ac:dyDescent="0.25">
      <c r="C264" s="35"/>
    </row>
    <row r="265" spans="3:3" ht="15.75" customHeight="1" x14ac:dyDescent="0.25">
      <c r="C265" s="35"/>
    </row>
    <row r="266" spans="3:3" ht="15.75" customHeight="1" x14ac:dyDescent="0.25">
      <c r="C266" s="35"/>
    </row>
    <row r="267" spans="3:3" ht="15.75" customHeight="1" x14ac:dyDescent="0.25">
      <c r="C267" s="35"/>
    </row>
    <row r="268" spans="3:3" ht="15.75" customHeight="1" x14ac:dyDescent="0.25">
      <c r="C268" s="35"/>
    </row>
    <row r="269" spans="3:3" ht="15.75" customHeight="1" x14ac:dyDescent="0.25">
      <c r="C269" s="35"/>
    </row>
    <row r="270" spans="3:3" ht="15.75" customHeight="1" x14ac:dyDescent="0.25">
      <c r="C270" s="35"/>
    </row>
    <row r="271" spans="3:3" ht="15.75" customHeight="1" x14ac:dyDescent="0.25">
      <c r="C271" s="35"/>
    </row>
    <row r="272" spans="3:3" ht="15.75" customHeight="1" x14ac:dyDescent="0.25">
      <c r="C272" s="35"/>
    </row>
    <row r="273" spans="3:3" ht="15.75" customHeight="1" x14ac:dyDescent="0.25">
      <c r="C273" s="35"/>
    </row>
    <row r="274" spans="3:3" ht="15.75" customHeight="1" x14ac:dyDescent="0.25">
      <c r="C274" s="35"/>
    </row>
    <row r="275" spans="3:3" ht="15.75" customHeight="1" x14ac:dyDescent="0.25">
      <c r="C275" s="35"/>
    </row>
    <row r="276" spans="3:3" ht="15.75" customHeight="1" x14ac:dyDescent="0.25">
      <c r="C276" s="35"/>
    </row>
    <row r="277" spans="3:3" ht="15.75" customHeight="1" x14ac:dyDescent="0.25">
      <c r="C277" s="35"/>
    </row>
    <row r="278" spans="3:3" ht="15.75" customHeight="1" x14ac:dyDescent="0.25">
      <c r="C278" s="35"/>
    </row>
    <row r="279" spans="3:3" ht="15.75" customHeight="1" x14ac:dyDescent="0.25">
      <c r="C279" s="35"/>
    </row>
    <row r="280" spans="3:3" ht="15.75" customHeight="1" x14ac:dyDescent="0.25">
      <c r="C280" s="35"/>
    </row>
    <row r="281" spans="3:3" ht="15.75" customHeight="1" x14ac:dyDescent="0.25">
      <c r="C281" s="35"/>
    </row>
    <row r="282" spans="3:3" ht="15.75" customHeight="1" x14ac:dyDescent="0.25">
      <c r="C282" s="35"/>
    </row>
    <row r="283" spans="3:3" ht="15.75" customHeight="1" x14ac:dyDescent="0.25">
      <c r="C283" s="35"/>
    </row>
    <row r="284" spans="3:3" ht="15.75" customHeight="1" x14ac:dyDescent="0.25">
      <c r="C284" s="35"/>
    </row>
    <row r="285" spans="3:3" ht="15.75" customHeight="1" x14ac:dyDescent="0.25">
      <c r="C285" s="35"/>
    </row>
    <row r="286" spans="3:3" ht="15.75" customHeight="1" x14ac:dyDescent="0.25">
      <c r="C286" s="35"/>
    </row>
    <row r="287" spans="3:3" ht="15.75" customHeight="1" x14ac:dyDescent="0.25">
      <c r="C287" s="35"/>
    </row>
    <row r="288" spans="3:3" ht="15.75" customHeight="1" x14ac:dyDescent="0.25">
      <c r="C288" s="35"/>
    </row>
    <row r="289" spans="3:3" ht="15.75" customHeight="1" x14ac:dyDescent="0.25">
      <c r="C289" s="35"/>
    </row>
    <row r="290" spans="3:3" ht="15.75" customHeight="1" x14ac:dyDescent="0.25">
      <c r="C290" s="35"/>
    </row>
    <row r="291" spans="3:3" ht="15.75" customHeight="1" x14ac:dyDescent="0.25">
      <c r="C291" s="35"/>
    </row>
    <row r="292" spans="3:3" ht="15.75" customHeight="1" x14ac:dyDescent="0.25">
      <c r="C292" s="35"/>
    </row>
    <row r="293" spans="3:3" ht="15.75" customHeight="1" x14ac:dyDescent="0.25">
      <c r="C293" s="35"/>
    </row>
    <row r="294" spans="3:3" ht="15.75" customHeight="1" x14ac:dyDescent="0.25">
      <c r="C294" s="35"/>
    </row>
    <row r="295" spans="3:3" ht="15.75" customHeight="1" x14ac:dyDescent="0.25">
      <c r="C295" s="35"/>
    </row>
    <row r="296" spans="3:3" ht="15.75" customHeight="1" x14ac:dyDescent="0.25">
      <c r="C296" s="35"/>
    </row>
    <row r="297" spans="3:3" ht="15.75" customHeight="1" x14ac:dyDescent="0.25">
      <c r="C297" s="35"/>
    </row>
    <row r="298" spans="3:3" ht="15.75" customHeight="1" x14ac:dyDescent="0.25">
      <c r="C298" s="35"/>
    </row>
    <row r="299" spans="3:3" ht="15.75" customHeight="1" x14ac:dyDescent="0.25">
      <c r="C299" s="35"/>
    </row>
    <row r="300" spans="3:3" ht="15.75" customHeight="1" x14ac:dyDescent="0.25">
      <c r="C300" s="35"/>
    </row>
    <row r="301" spans="3:3" ht="15.75" customHeight="1" x14ac:dyDescent="0.25">
      <c r="C301" s="35"/>
    </row>
    <row r="302" spans="3:3" ht="15.75" customHeight="1" x14ac:dyDescent="0.25">
      <c r="C302" s="35"/>
    </row>
    <row r="303" spans="3:3" ht="15.75" customHeight="1" x14ac:dyDescent="0.25">
      <c r="C303" s="35"/>
    </row>
    <row r="304" spans="3:3" ht="15.75" customHeight="1" x14ac:dyDescent="0.25">
      <c r="C304" s="35"/>
    </row>
    <row r="305" spans="3:3" ht="15.75" customHeight="1" x14ac:dyDescent="0.25">
      <c r="C305" s="35"/>
    </row>
    <row r="306" spans="3:3" ht="15.75" customHeight="1" x14ac:dyDescent="0.25">
      <c r="C306" s="35"/>
    </row>
    <row r="307" spans="3:3" ht="15.75" customHeight="1" x14ac:dyDescent="0.25">
      <c r="C307" s="35"/>
    </row>
    <row r="308" spans="3:3" ht="15.75" customHeight="1" x14ac:dyDescent="0.25">
      <c r="C308" s="35"/>
    </row>
    <row r="309" spans="3:3" ht="15.75" customHeight="1" x14ac:dyDescent="0.25">
      <c r="C309" s="35"/>
    </row>
    <row r="310" spans="3:3" ht="15.75" customHeight="1" x14ac:dyDescent="0.25">
      <c r="C310" s="35"/>
    </row>
    <row r="311" spans="3:3" ht="15.75" customHeight="1" x14ac:dyDescent="0.25">
      <c r="C311" s="35"/>
    </row>
    <row r="312" spans="3:3" ht="15.75" customHeight="1" x14ac:dyDescent="0.25">
      <c r="C312" s="35"/>
    </row>
    <row r="313" spans="3:3" ht="15.75" customHeight="1" x14ac:dyDescent="0.25">
      <c r="C313" s="35"/>
    </row>
    <row r="314" spans="3:3" ht="15.75" customHeight="1" x14ac:dyDescent="0.25">
      <c r="C314" s="35"/>
    </row>
    <row r="315" spans="3:3" ht="15.75" customHeight="1" x14ac:dyDescent="0.25">
      <c r="C315" s="35"/>
    </row>
    <row r="316" spans="3:3" ht="15.75" customHeight="1" x14ac:dyDescent="0.25">
      <c r="C316" s="35"/>
    </row>
    <row r="317" spans="3:3" ht="15.75" customHeight="1" x14ac:dyDescent="0.25">
      <c r="C317" s="35"/>
    </row>
    <row r="318" spans="3:3" ht="15.75" customHeight="1" x14ac:dyDescent="0.25">
      <c r="C318" s="35"/>
    </row>
    <row r="319" spans="3:3" ht="15.75" customHeight="1" x14ac:dyDescent="0.25">
      <c r="C319" s="35"/>
    </row>
    <row r="320" spans="3:3" ht="15.75" customHeight="1" x14ac:dyDescent="0.25">
      <c r="C320" s="35"/>
    </row>
    <row r="321" spans="3:3" ht="15.75" customHeight="1" x14ac:dyDescent="0.25">
      <c r="C321" s="35"/>
    </row>
    <row r="322" spans="3:3" ht="15.75" customHeight="1" x14ac:dyDescent="0.25">
      <c r="C322" s="35"/>
    </row>
    <row r="323" spans="3:3" ht="15.75" customHeight="1" x14ac:dyDescent="0.25">
      <c r="C323" s="35"/>
    </row>
    <row r="324" spans="3:3" ht="15.75" customHeight="1" x14ac:dyDescent="0.25">
      <c r="C324" s="35"/>
    </row>
    <row r="325" spans="3:3" ht="15.75" customHeight="1" x14ac:dyDescent="0.25">
      <c r="C325" s="35"/>
    </row>
    <row r="326" spans="3:3" ht="15.75" customHeight="1" x14ac:dyDescent="0.25">
      <c r="C326" s="35"/>
    </row>
    <row r="327" spans="3:3" ht="15.75" customHeight="1" x14ac:dyDescent="0.25">
      <c r="C327" s="35"/>
    </row>
    <row r="328" spans="3:3" ht="15.75" customHeight="1" x14ac:dyDescent="0.25">
      <c r="C328" s="35"/>
    </row>
    <row r="329" spans="3:3" ht="15.75" customHeight="1" x14ac:dyDescent="0.25">
      <c r="C329" s="35"/>
    </row>
    <row r="330" spans="3:3" ht="15.75" customHeight="1" x14ac:dyDescent="0.25">
      <c r="C330" s="35"/>
    </row>
    <row r="331" spans="3:3" ht="15.75" customHeight="1" x14ac:dyDescent="0.25">
      <c r="C331" s="35"/>
    </row>
    <row r="332" spans="3:3" ht="15.75" customHeight="1" x14ac:dyDescent="0.25">
      <c r="C332" s="35"/>
    </row>
    <row r="333" spans="3:3" ht="15.75" customHeight="1" x14ac:dyDescent="0.25">
      <c r="C333" s="35"/>
    </row>
    <row r="334" spans="3:3" ht="15.75" customHeight="1" x14ac:dyDescent="0.25">
      <c r="C334" s="35"/>
    </row>
    <row r="335" spans="3:3" ht="15.75" customHeight="1" x14ac:dyDescent="0.25">
      <c r="C335" s="35"/>
    </row>
    <row r="336" spans="3:3" ht="15.75" customHeight="1" x14ac:dyDescent="0.25">
      <c r="C336" s="35"/>
    </row>
    <row r="337" spans="3:3" ht="15.75" customHeight="1" x14ac:dyDescent="0.25">
      <c r="C337" s="35"/>
    </row>
    <row r="338" spans="3:3" ht="15.75" customHeight="1" x14ac:dyDescent="0.25">
      <c r="C338" s="35"/>
    </row>
    <row r="339" spans="3:3" ht="15.75" customHeight="1" x14ac:dyDescent="0.25">
      <c r="C339" s="35"/>
    </row>
    <row r="340" spans="3:3" ht="15.75" customHeight="1" x14ac:dyDescent="0.25">
      <c r="C340" s="35"/>
    </row>
    <row r="341" spans="3:3" ht="15.75" customHeight="1" x14ac:dyDescent="0.25">
      <c r="C341" s="35"/>
    </row>
    <row r="342" spans="3:3" ht="15.75" customHeight="1" x14ac:dyDescent="0.25">
      <c r="C342" s="35"/>
    </row>
    <row r="343" spans="3:3" ht="15.75" customHeight="1" x14ac:dyDescent="0.25">
      <c r="C343" s="35"/>
    </row>
    <row r="344" spans="3:3" ht="15.75" customHeight="1" x14ac:dyDescent="0.25">
      <c r="C344" s="35"/>
    </row>
    <row r="345" spans="3:3" ht="15.75" customHeight="1" x14ac:dyDescent="0.25">
      <c r="C345" s="35"/>
    </row>
    <row r="346" spans="3:3" ht="15.75" customHeight="1" x14ac:dyDescent="0.25">
      <c r="C346" s="35"/>
    </row>
    <row r="347" spans="3:3" ht="15.75" customHeight="1" x14ac:dyDescent="0.25">
      <c r="C347" s="35"/>
    </row>
    <row r="348" spans="3:3" ht="15.75" customHeight="1" x14ac:dyDescent="0.25">
      <c r="C348" s="35"/>
    </row>
    <row r="349" spans="3:3" ht="15.75" customHeight="1" x14ac:dyDescent="0.25">
      <c r="C349" s="35"/>
    </row>
    <row r="350" spans="3:3" ht="15.75" customHeight="1" x14ac:dyDescent="0.25">
      <c r="C350" s="35"/>
    </row>
    <row r="351" spans="3:3" ht="15.75" customHeight="1" x14ac:dyDescent="0.25">
      <c r="C351" s="35"/>
    </row>
    <row r="352" spans="3:3" ht="15.75" customHeight="1" x14ac:dyDescent="0.25">
      <c r="C352" s="35"/>
    </row>
    <row r="353" spans="3:3" ht="15.75" customHeight="1" x14ac:dyDescent="0.25">
      <c r="C353" s="35"/>
    </row>
    <row r="354" spans="3:3" ht="15.75" customHeight="1" x14ac:dyDescent="0.25">
      <c r="C354" s="35"/>
    </row>
    <row r="355" spans="3:3" ht="15.75" customHeight="1" x14ac:dyDescent="0.25">
      <c r="C355" s="35"/>
    </row>
    <row r="356" spans="3:3" ht="15.75" customHeight="1" x14ac:dyDescent="0.25">
      <c r="C356" s="35"/>
    </row>
    <row r="357" spans="3:3" ht="15.75" customHeight="1" x14ac:dyDescent="0.25"/>
    <row r="358" spans="3:3" ht="15.75" customHeight="1" x14ac:dyDescent="0.25"/>
    <row r="359" spans="3:3" ht="15.75" customHeight="1" x14ac:dyDescent="0.25"/>
    <row r="360" spans="3:3" ht="15.75" customHeight="1" x14ac:dyDescent="0.25"/>
    <row r="361" spans="3:3" ht="15.75" customHeight="1" x14ac:dyDescent="0.25"/>
    <row r="362" spans="3:3" ht="15.75" customHeight="1" x14ac:dyDescent="0.25"/>
    <row r="363" spans="3:3" ht="15.75" customHeight="1" x14ac:dyDescent="0.25"/>
    <row r="364" spans="3:3" ht="15.75" customHeight="1" x14ac:dyDescent="0.25"/>
    <row r="365" spans="3:3" ht="15.75" customHeight="1" x14ac:dyDescent="0.25"/>
    <row r="366" spans="3:3" ht="15.75" customHeight="1" x14ac:dyDescent="0.25"/>
    <row r="367" spans="3:3" ht="15.75" customHeight="1" x14ac:dyDescent="0.25"/>
    <row r="368" spans="3:3"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mergeCells count="7">
    <mergeCell ref="A11:A16"/>
    <mergeCell ref="I3:I4"/>
    <mergeCell ref="J3:K4"/>
    <mergeCell ref="A7:A9"/>
    <mergeCell ref="E7:G7"/>
    <mergeCell ref="E8:G8"/>
    <mergeCell ref="E9:G9"/>
  </mergeCells>
  <pageMargins left="0.7" right="0.7" top="0.75" bottom="0.75" header="0" footer="0"/>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xr:uid="{00000000-0002-0000-0100-000000000000}">
          <x14:formula1>
            <xm:f>'Thông Tin Đồ Ăn'!$B$4:$B$158</xm:f>
          </x14:formula1>
          <xm:sqref>B11:B156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2BEBB-60B7-4BE8-B7E5-8024F386D870}">
  <sheetPr codeName="Sheet3">
    <tabColor theme="5" tint="0.39997558519241921"/>
  </sheetPr>
  <dimension ref="B2:Z37"/>
  <sheetViews>
    <sheetView showGridLines="0" zoomScaleNormal="100" workbookViewId="0">
      <pane xSplit="2" ySplit="4" topLeftCell="C14" activePane="bottomRight" state="frozen"/>
      <selection pane="topRight" activeCell="C1" sqref="C1"/>
      <selection pane="bottomLeft" activeCell="A5" sqref="A5"/>
      <selection pane="bottomRight" activeCell="D25" sqref="D25"/>
    </sheetView>
  </sheetViews>
  <sheetFormatPr defaultColWidth="10.7109375" defaultRowHeight="12.75" x14ac:dyDescent="0.2"/>
  <cols>
    <col min="1" max="1" width="10.7109375" style="27"/>
    <col min="2" max="2" width="9.7109375" style="27" bestFit="1" customWidth="1"/>
    <col min="3" max="3" width="8.28515625" style="27" bestFit="1" customWidth="1"/>
    <col min="4" max="4" width="11.42578125" style="27" bestFit="1" customWidth="1"/>
    <col min="5" max="5" width="8.28515625" style="27" bestFit="1" customWidth="1"/>
    <col min="6" max="6" width="11.42578125" style="27" bestFit="1" customWidth="1"/>
    <col min="7" max="7" width="8.28515625" style="27" bestFit="1" customWidth="1"/>
    <col min="8" max="8" width="11.42578125" style="27" bestFit="1" customWidth="1"/>
    <col min="9" max="9" width="8.28515625" style="27" bestFit="1" customWidth="1"/>
    <col min="10" max="10" width="11.42578125" style="27" bestFit="1" customWidth="1"/>
    <col min="11" max="11" width="8.28515625" style="27" bestFit="1" customWidth="1"/>
    <col min="12" max="12" width="11.42578125" style="27" bestFit="1" customWidth="1"/>
    <col min="13" max="13" width="8.28515625" style="27" bestFit="1" customWidth="1"/>
    <col min="14" max="14" width="11.42578125" style="27" bestFit="1" customWidth="1"/>
    <col min="15" max="15" width="8.28515625" style="27" bestFit="1" customWidth="1"/>
    <col min="16" max="16" width="11.42578125" style="27" bestFit="1" customWidth="1"/>
    <col min="17" max="17" width="8.28515625" style="27" bestFit="1" customWidth="1"/>
    <col min="18" max="18" width="11.42578125" style="27" bestFit="1" customWidth="1"/>
    <col min="19" max="19" width="8.28515625" style="27" bestFit="1" customWidth="1"/>
    <col min="20" max="20" width="11.42578125" style="27" bestFit="1" customWidth="1"/>
    <col min="21" max="21" width="8.28515625" style="27" bestFit="1" customWidth="1"/>
    <col min="22" max="22" width="11.42578125" style="27" bestFit="1" customWidth="1"/>
    <col min="23" max="23" width="8.28515625" style="27" bestFit="1" customWidth="1"/>
    <col min="24" max="24" width="11.42578125" style="27" bestFit="1" customWidth="1"/>
    <col min="25" max="25" width="8.28515625" style="27" bestFit="1" customWidth="1"/>
    <col min="26" max="26" width="11.42578125" style="27" bestFit="1" customWidth="1"/>
    <col min="27" max="16384" width="10.7109375" style="27"/>
  </cols>
  <sheetData>
    <row r="2" spans="2:26" ht="13.5" thickBot="1" x14ac:dyDescent="0.25"/>
    <row r="3" spans="2:26" ht="16.5" thickBot="1" x14ac:dyDescent="0.3">
      <c r="B3" s="182"/>
      <c r="C3" s="212" t="s">
        <v>134</v>
      </c>
      <c r="D3" s="211"/>
      <c r="E3" s="212" t="s">
        <v>135</v>
      </c>
      <c r="F3" s="211"/>
      <c r="G3" s="212" t="s">
        <v>136</v>
      </c>
      <c r="H3" s="211"/>
      <c r="I3" s="212" t="s">
        <v>137</v>
      </c>
      <c r="J3" s="211"/>
      <c r="K3" s="212" t="s">
        <v>138</v>
      </c>
      <c r="L3" s="211"/>
      <c r="M3" s="212" t="s">
        <v>139</v>
      </c>
      <c r="N3" s="211"/>
      <c r="O3" s="212" t="s">
        <v>140</v>
      </c>
      <c r="P3" s="211"/>
      <c r="Q3" s="212" t="s">
        <v>141</v>
      </c>
      <c r="R3" s="211"/>
      <c r="S3" s="212" t="s">
        <v>142</v>
      </c>
      <c r="T3" s="211"/>
      <c r="U3" s="212" t="s">
        <v>143</v>
      </c>
      <c r="V3" s="211"/>
      <c r="W3" s="212" t="s">
        <v>144</v>
      </c>
      <c r="X3" s="211"/>
      <c r="Y3" s="210" t="s">
        <v>145</v>
      </c>
      <c r="Z3" s="211"/>
    </row>
    <row r="4" spans="2:26" ht="17.25" thickTop="1" thickBot="1" x14ac:dyDescent="0.3">
      <c r="B4" s="106" t="s">
        <v>147</v>
      </c>
      <c r="C4" s="107" t="s">
        <v>6</v>
      </c>
      <c r="D4" s="108" t="s">
        <v>146</v>
      </c>
      <c r="E4" s="107" t="s">
        <v>6</v>
      </c>
      <c r="F4" s="108" t="s">
        <v>146</v>
      </c>
      <c r="G4" s="107" t="s">
        <v>6</v>
      </c>
      <c r="H4" s="108" t="s">
        <v>146</v>
      </c>
      <c r="I4" s="107" t="s">
        <v>6</v>
      </c>
      <c r="J4" s="108" t="s">
        <v>146</v>
      </c>
      <c r="K4" s="107" t="s">
        <v>6</v>
      </c>
      <c r="L4" s="108" t="s">
        <v>146</v>
      </c>
      <c r="M4" s="107" t="s">
        <v>6</v>
      </c>
      <c r="N4" s="108" t="s">
        <v>146</v>
      </c>
      <c r="O4" s="107" t="s">
        <v>6</v>
      </c>
      <c r="P4" s="108" t="s">
        <v>146</v>
      </c>
      <c r="Q4" s="107" t="s">
        <v>6</v>
      </c>
      <c r="R4" s="108" t="s">
        <v>146</v>
      </c>
      <c r="S4" s="107" t="s">
        <v>6</v>
      </c>
      <c r="T4" s="108" t="s">
        <v>146</v>
      </c>
      <c r="U4" s="107" t="s">
        <v>6</v>
      </c>
      <c r="V4" s="108" t="s">
        <v>146</v>
      </c>
      <c r="W4" s="107" t="s">
        <v>6</v>
      </c>
      <c r="X4" s="108" t="s">
        <v>146</v>
      </c>
      <c r="Y4" s="109" t="s">
        <v>6</v>
      </c>
      <c r="Z4" s="108" t="s">
        <v>146</v>
      </c>
    </row>
    <row r="5" spans="2:26" ht="16.5" thickTop="1" x14ac:dyDescent="0.25">
      <c r="B5" s="183">
        <v>1</v>
      </c>
      <c r="C5" s="78">
        <f t="shared" ref="C5:C10" ca="1" si="0">RANDBETWEEN(2000,3000)</f>
        <v>2326</v>
      </c>
      <c r="D5" s="29">
        <f t="shared" ref="D5:D35" ca="1" si="1">RANDBETWEEN(60,80)</f>
        <v>74</v>
      </c>
      <c r="E5" s="78">
        <f t="shared" ref="E5:E32" ca="1" si="2">RANDBETWEEN(2000,3000)</f>
        <v>2175</v>
      </c>
      <c r="F5" s="29">
        <f t="shared" ref="F5:F32" ca="1" si="3">RANDBETWEEN(60,80)</f>
        <v>72</v>
      </c>
      <c r="G5" s="78">
        <f t="shared" ref="G5:G35" ca="1" si="4">RANDBETWEEN(2000,3000)</f>
        <v>2025</v>
      </c>
      <c r="H5" s="29">
        <f t="shared" ref="H5:H35" ca="1" si="5">RANDBETWEEN(60,80)</f>
        <v>73</v>
      </c>
      <c r="I5" s="78">
        <f t="shared" ref="I5:I34" ca="1" si="6">RANDBETWEEN(2000,3000)</f>
        <v>2680</v>
      </c>
      <c r="J5" s="29">
        <f t="shared" ref="J5:J34" ca="1" si="7">RANDBETWEEN(60,80)</f>
        <v>76</v>
      </c>
      <c r="K5" s="78">
        <f t="shared" ref="K5:K35" ca="1" si="8">RANDBETWEEN(2000,3000)</f>
        <v>2662</v>
      </c>
      <c r="L5" s="29">
        <f t="shared" ref="L5:L35" ca="1" si="9">RANDBETWEEN(60,80)</f>
        <v>70</v>
      </c>
      <c r="M5" s="78">
        <f t="shared" ref="M5:M34" ca="1" si="10">RANDBETWEEN(2000,3000)</f>
        <v>2467</v>
      </c>
      <c r="N5" s="29">
        <f t="shared" ref="N5:N34" ca="1" si="11">RANDBETWEEN(60,80)</f>
        <v>80</v>
      </c>
      <c r="O5" s="78">
        <f t="shared" ref="O5:O35" ca="1" si="12">RANDBETWEEN(2000,3000)</f>
        <v>2157</v>
      </c>
      <c r="P5" s="29">
        <f t="shared" ref="P5:P35" ca="1" si="13">RANDBETWEEN(60,80)</f>
        <v>64</v>
      </c>
      <c r="Q5" s="78">
        <f t="shared" ref="Q5:Q35" ca="1" si="14">RANDBETWEEN(2000,3000)</f>
        <v>2042</v>
      </c>
      <c r="R5" s="29">
        <f t="shared" ref="R5:R35" ca="1" si="15">RANDBETWEEN(60,80)</f>
        <v>71</v>
      </c>
      <c r="S5" s="78"/>
      <c r="T5" s="29"/>
      <c r="U5" s="78"/>
      <c r="V5" s="29"/>
      <c r="W5" s="78"/>
      <c r="X5" s="29"/>
      <c r="Y5" s="78"/>
      <c r="Z5" s="29"/>
    </row>
    <row r="6" spans="2:26" ht="15.75" x14ac:dyDescent="0.25">
      <c r="B6" s="183">
        <v>2</v>
      </c>
      <c r="C6" s="79">
        <f t="shared" ca="1" si="0"/>
        <v>2173</v>
      </c>
      <c r="D6" s="29">
        <f t="shared" ca="1" si="1"/>
        <v>63</v>
      </c>
      <c r="E6" s="79">
        <f t="shared" ca="1" si="2"/>
        <v>2749</v>
      </c>
      <c r="F6" s="29">
        <f t="shared" ca="1" si="3"/>
        <v>79</v>
      </c>
      <c r="G6" s="79">
        <f t="shared" ca="1" si="4"/>
        <v>2439</v>
      </c>
      <c r="H6" s="29">
        <f t="shared" ca="1" si="5"/>
        <v>67</v>
      </c>
      <c r="I6" s="79">
        <f t="shared" ca="1" si="6"/>
        <v>2219</v>
      </c>
      <c r="J6" s="29">
        <f t="shared" ca="1" si="7"/>
        <v>62</v>
      </c>
      <c r="K6" s="79">
        <f t="shared" ca="1" si="8"/>
        <v>2147</v>
      </c>
      <c r="L6" s="29">
        <f t="shared" ca="1" si="9"/>
        <v>70</v>
      </c>
      <c r="M6" s="79">
        <f t="shared" ca="1" si="10"/>
        <v>2012</v>
      </c>
      <c r="N6" s="29">
        <f t="shared" ca="1" si="11"/>
        <v>64</v>
      </c>
      <c r="O6" s="79">
        <f t="shared" ca="1" si="12"/>
        <v>2438</v>
      </c>
      <c r="P6" s="29">
        <f t="shared" ca="1" si="13"/>
        <v>71</v>
      </c>
      <c r="Q6" s="79">
        <f t="shared" ca="1" si="14"/>
        <v>2213</v>
      </c>
      <c r="R6" s="29">
        <f t="shared" ca="1" si="15"/>
        <v>66</v>
      </c>
      <c r="S6" s="79"/>
      <c r="T6" s="29"/>
      <c r="U6" s="79"/>
      <c r="V6" s="29"/>
      <c r="W6" s="79"/>
      <c r="X6" s="29"/>
      <c r="Y6" s="79"/>
      <c r="Z6" s="29"/>
    </row>
    <row r="7" spans="2:26" ht="15.75" x14ac:dyDescent="0.25">
      <c r="B7" s="183">
        <v>3</v>
      </c>
      <c r="C7" s="79">
        <f t="shared" ca="1" si="0"/>
        <v>2974</v>
      </c>
      <c r="D7" s="29">
        <f t="shared" ca="1" si="1"/>
        <v>72</v>
      </c>
      <c r="E7" s="79">
        <f t="shared" ca="1" si="2"/>
        <v>2457</v>
      </c>
      <c r="F7" s="29">
        <f t="shared" ca="1" si="3"/>
        <v>62</v>
      </c>
      <c r="G7" s="79">
        <f t="shared" ca="1" si="4"/>
        <v>2365</v>
      </c>
      <c r="H7" s="29">
        <f t="shared" ca="1" si="5"/>
        <v>68</v>
      </c>
      <c r="I7" s="79">
        <f t="shared" ca="1" si="6"/>
        <v>2122</v>
      </c>
      <c r="J7" s="29">
        <f t="shared" ca="1" si="7"/>
        <v>80</v>
      </c>
      <c r="K7" s="79">
        <f t="shared" ca="1" si="8"/>
        <v>2638</v>
      </c>
      <c r="L7" s="29">
        <f t="shared" ca="1" si="9"/>
        <v>80</v>
      </c>
      <c r="M7" s="79">
        <f t="shared" ca="1" si="10"/>
        <v>2612</v>
      </c>
      <c r="N7" s="29">
        <f t="shared" ca="1" si="11"/>
        <v>75</v>
      </c>
      <c r="O7" s="79">
        <f t="shared" ca="1" si="12"/>
        <v>2994</v>
      </c>
      <c r="P7" s="29">
        <f t="shared" ca="1" si="13"/>
        <v>62</v>
      </c>
      <c r="Q7" s="79">
        <f t="shared" ca="1" si="14"/>
        <v>2999</v>
      </c>
      <c r="R7" s="29">
        <f t="shared" ca="1" si="15"/>
        <v>76</v>
      </c>
      <c r="S7" s="79"/>
      <c r="T7" s="29"/>
      <c r="U7" s="79"/>
      <c r="V7" s="29"/>
      <c r="W7" s="79"/>
      <c r="X7" s="29"/>
      <c r="Y7" s="79"/>
      <c r="Z7" s="29"/>
    </row>
    <row r="8" spans="2:26" ht="15.75" x14ac:dyDescent="0.25">
      <c r="B8" s="183">
        <v>4</v>
      </c>
      <c r="C8" s="79">
        <f t="shared" ca="1" si="0"/>
        <v>2505</v>
      </c>
      <c r="D8" s="29">
        <f t="shared" ca="1" si="1"/>
        <v>77</v>
      </c>
      <c r="E8" s="79">
        <f t="shared" ca="1" si="2"/>
        <v>2271</v>
      </c>
      <c r="F8" s="29">
        <f t="shared" ca="1" si="3"/>
        <v>63</v>
      </c>
      <c r="G8" s="79">
        <f t="shared" ca="1" si="4"/>
        <v>2637</v>
      </c>
      <c r="H8" s="29">
        <f t="shared" ca="1" si="5"/>
        <v>63</v>
      </c>
      <c r="I8" s="79">
        <f t="shared" ca="1" si="6"/>
        <v>2085</v>
      </c>
      <c r="J8" s="29">
        <f t="shared" ca="1" si="7"/>
        <v>68</v>
      </c>
      <c r="K8" s="79">
        <f t="shared" ca="1" si="8"/>
        <v>2936</v>
      </c>
      <c r="L8" s="29">
        <f t="shared" ca="1" si="9"/>
        <v>74</v>
      </c>
      <c r="M8" s="79">
        <f t="shared" ca="1" si="10"/>
        <v>2820</v>
      </c>
      <c r="N8" s="29">
        <f t="shared" ca="1" si="11"/>
        <v>70</v>
      </c>
      <c r="O8" s="79">
        <f t="shared" ca="1" si="12"/>
        <v>2998</v>
      </c>
      <c r="P8" s="29">
        <f t="shared" ca="1" si="13"/>
        <v>67</v>
      </c>
      <c r="Q8" s="79">
        <f t="shared" ca="1" si="14"/>
        <v>2588</v>
      </c>
      <c r="R8" s="29">
        <f t="shared" ca="1" si="15"/>
        <v>62</v>
      </c>
      <c r="S8" s="79"/>
      <c r="T8" s="29"/>
      <c r="U8" s="79"/>
      <c r="V8" s="29"/>
      <c r="W8" s="79"/>
      <c r="X8" s="29"/>
      <c r="Y8" s="79"/>
      <c r="Z8" s="29"/>
    </row>
    <row r="9" spans="2:26" ht="15.75" x14ac:dyDescent="0.25">
      <c r="B9" s="183">
        <v>5</v>
      </c>
      <c r="C9" s="79">
        <f t="shared" ca="1" si="0"/>
        <v>2265</v>
      </c>
      <c r="D9" s="29">
        <f t="shared" ca="1" si="1"/>
        <v>71</v>
      </c>
      <c r="E9" s="79">
        <f t="shared" ca="1" si="2"/>
        <v>2122</v>
      </c>
      <c r="F9" s="29">
        <f t="shared" ca="1" si="3"/>
        <v>63</v>
      </c>
      <c r="G9" s="79">
        <f t="shared" ca="1" si="4"/>
        <v>2671</v>
      </c>
      <c r="H9" s="29">
        <f t="shared" ca="1" si="5"/>
        <v>76</v>
      </c>
      <c r="I9" s="79">
        <f t="shared" ca="1" si="6"/>
        <v>2227</v>
      </c>
      <c r="J9" s="29">
        <f t="shared" ca="1" si="7"/>
        <v>79</v>
      </c>
      <c r="K9" s="79">
        <f t="shared" ca="1" si="8"/>
        <v>2093</v>
      </c>
      <c r="L9" s="29">
        <f t="shared" ca="1" si="9"/>
        <v>66</v>
      </c>
      <c r="M9" s="79">
        <f t="shared" ca="1" si="10"/>
        <v>2176</v>
      </c>
      <c r="N9" s="29">
        <f t="shared" ca="1" si="11"/>
        <v>67</v>
      </c>
      <c r="O9" s="79">
        <f t="shared" ca="1" si="12"/>
        <v>2049</v>
      </c>
      <c r="P9" s="29">
        <f t="shared" ca="1" si="13"/>
        <v>76</v>
      </c>
      <c r="Q9" s="79">
        <f t="shared" ca="1" si="14"/>
        <v>2851</v>
      </c>
      <c r="R9" s="29">
        <f t="shared" ca="1" si="15"/>
        <v>69</v>
      </c>
      <c r="S9" s="79"/>
      <c r="T9" s="29"/>
      <c r="U9" s="79"/>
      <c r="V9" s="29"/>
      <c r="W9" s="79"/>
      <c r="X9" s="29"/>
      <c r="Y9" s="79"/>
      <c r="Z9" s="29"/>
    </row>
    <row r="10" spans="2:26" ht="15.75" x14ac:dyDescent="0.25">
      <c r="B10" s="183">
        <v>6</v>
      </c>
      <c r="C10" s="79">
        <f t="shared" ca="1" si="0"/>
        <v>2675</v>
      </c>
      <c r="D10" s="29">
        <f t="shared" ca="1" si="1"/>
        <v>76</v>
      </c>
      <c r="E10" s="79">
        <f t="shared" ca="1" si="2"/>
        <v>2524</v>
      </c>
      <c r="F10" s="29">
        <f t="shared" ca="1" si="3"/>
        <v>65</v>
      </c>
      <c r="G10" s="79">
        <f t="shared" ca="1" si="4"/>
        <v>2669</v>
      </c>
      <c r="H10" s="29">
        <f t="shared" ca="1" si="5"/>
        <v>62</v>
      </c>
      <c r="I10" s="79">
        <f t="shared" ca="1" si="6"/>
        <v>2456</v>
      </c>
      <c r="J10" s="29">
        <f t="shared" ca="1" si="7"/>
        <v>61</v>
      </c>
      <c r="K10" s="79">
        <f t="shared" ca="1" si="8"/>
        <v>2357</v>
      </c>
      <c r="L10" s="29">
        <f t="shared" ca="1" si="9"/>
        <v>72</v>
      </c>
      <c r="M10" s="79">
        <f t="shared" ca="1" si="10"/>
        <v>2611</v>
      </c>
      <c r="N10" s="29">
        <f t="shared" ca="1" si="11"/>
        <v>61</v>
      </c>
      <c r="O10" s="79">
        <f t="shared" ca="1" si="12"/>
        <v>2934</v>
      </c>
      <c r="P10" s="29">
        <f t="shared" ca="1" si="13"/>
        <v>75</v>
      </c>
      <c r="Q10" s="79">
        <f t="shared" ca="1" si="14"/>
        <v>2501</v>
      </c>
      <c r="R10" s="29">
        <f t="shared" ca="1" si="15"/>
        <v>75</v>
      </c>
      <c r="S10" s="79"/>
      <c r="T10" s="29"/>
      <c r="U10" s="79"/>
      <c r="V10" s="29"/>
      <c r="W10" s="79"/>
      <c r="X10" s="29"/>
      <c r="Y10" s="79"/>
      <c r="Z10" s="29"/>
    </row>
    <row r="11" spans="2:26" ht="15.75" x14ac:dyDescent="0.25">
      <c r="B11" s="183">
        <v>7</v>
      </c>
      <c r="C11" s="79">
        <v>2400</v>
      </c>
      <c r="D11" s="29">
        <f t="shared" ca="1" si="1"/>
        <v>77</v>
      </c>
      <c r="E11" s="79">
        <f t="shared" ca="1" si="2"/>
        <v>2004</v>
      </c>
      <c r="F11" s="29">
        <f t="shared" ca="1" si="3"/>
        <v>80</v>
      </c>
      <c r="G11" s="79">
        <f t="shared" ca="1" si="4"/>
        <v>2683</v>
      </c>
      <c r="H11" s="29">
        <f t="shared" ca="1" si="5"/>
        <v>77</v>
      </c>
      <c r="I11" s="79">
        <f t="shared" ca="1" si="6"/>
        <v>2213</v>
      </c>
      <c r="J11" s="29">
        <f t="shared" ca="1" si="7"/>
        <v>64</v>
      </c>
      <c r="K11" s="79">
        <f t="shared" ca="1" si="8"/>
        <v>2063</v>
      </c>
      <c r="L11" s="29">
        <f t="shared" ca="1" si="9"/>
        <v>67</v>
      </c>
      <c r="M11" s="79">
        <f t="shared" ca="1" si="10"/>
        <v>2586</v>
      </c>
      <c r="N11" s="29">
        <f t="shared" ca="1" si="11"/>
        <v>78</v>
      </c>
      <c r="O11" s="79">
        <f t="shared" ca="1" si="12"/>
        <v>2582</v>
      </c>
      <c r="P11" s="29">
        <f t="shared" ca="1" si="13"/>
        <v>76</v>
      </c>
      <c r="Q11" s="79">
        <f t="shared" ca="1" si="14"/>
        <v>2098</v>
      </c>
      <c r="R11" s="29">
        <f t="shared" ca="1" si="15"/>
        <v>66</v>
      </c>
      <c r="S11" s="79"/>
      <c r="T11" s="29"/>
      <c r="U11" s="79"/>
      <c r="V11" s="29"/>
      <c r="W11" s="79"/>
      <c r="X11" s="29"/>
      <c r="Y11" s="79"/>
      <c r="Z11" s="29"/>
    </row>
    <row r="12" spans="2:26" ht="15.75" x14ac:dyDescent="0.25">
      <c r="B12" s="183">
        <v>8</v>
      </c>
      <c r="C12" s="79">
        <f t="shared" ref="C12:C35" ca="1" si="16">RANDBETWEEN(2000,3000)</f>
        <v>2698</v>
      </c>
      <c r="D12" s="29">
        <f t="shared" ca="1" si="1"/>
        <v>77</v>
      </c>
      <c r="E12" s="79">
        <f t="shared" ca="1" si="2"/>
        <v>2459</v>
      </c>
      <c r="F12" s="29">
        <f t="shared" ca="1" si="3"/>
        <v>80</v>
      </c>
      <c r="G12" s="79">
        <f t="shared" ca="1" si="4"/>
        <v>2354</v>
      </c>
      <c r="H12" s="29">
        <f t="shared" ca="1" si="5"/>
        <v>70</v>
      </c>
      <c r="I12" s="79">
        <f t="shared" ca="1" si="6"/>
        <v>2929</v>
      </c>
      <c r="J12" s="29">
        <f t="shared" ca="1" si="7"/>
        <v>79</v>
      </c>
      <c r="K12" s="79">
        <f t="shared" ca="1" si="8"/>
        <v>2884</v>
      </c>
      <c r="L12" s="29">
        <f t="shared" ca="1" si="9"/>
        <v>68</v>
      </c>
      <c r="M12" s="79">
        <f t="shared" ca="1" si="10"/>
        <v>2717</v>
      </c>
      <c r="N12" s="29">
        <f t="shared" ca="1" si="11"/>
        <v>70</v>
      </c>
      <c r="O12" s="79">
        <f t="shared" ca="1" si="12"/>
        <v>2912</v>
      </c>
      <c r="P12" s="29">
        <f t="shared" ca="1" si="13"/>
        <v>65</v>
      </c>
      <c r="Q12" s="79">
        <f t="shared" ca="1" si="14"/>
        <v>2648</v>
      </c>
      <c r="R12" s="29">
        <f t="shared" ca="1" si="15"/>
        <v>80</v>
      </c>
      <c r="S12" s="79"/>
      <c r="T12" s="29"/>
      <c r="U12" s="79"/>
      <c r="V12" s="29"/>
      <c r="W12" s="79"/>
      <c r="X12" s="29"/>
      <c r="Y12" s="79"/>
      <c r="Z12" s="29"/>
    </row>
    <row r="13" spans="2:26" ht="15.75" x14ac:dyDescent="0.25">
      <c r="B13" s="183">
        <v>9</v>
      </c>
      <c r="C13" s="79">
        <f t="shared" ca="1" si="16"/>
        <v>2066</v>
      </c>
      <c r="D13" s="29">
        <f t="shared" ca="1" si="1"/>
        <v>60</v>
      </c>
      <c r="E13" s="79">
        <f t="shared" ca="1" si="2"/>
        <v>2540</v>
      </c>
      <c r="F13" s="29">
        <f t="shared" ca="1" si="3"/>
        <v>65</v>
      </c>
      <c r="G13" s="79">
        <f t="shared" ca="1" si="4"/>
        <v>2789</v>
      </c>
      <c r="H13" s="29">
        <f t="shared" ca="1" si="5"/>
        <v>60</v>
      </c>
      <c r="I13" s="79">
        <f t="shared" ca="1" si="6"/>
        <v>2983</v>
      </c>
      <c r="J13" s="29">
        <f t="shared" ca="1" si="7"/>
        <v>67</v>
      </c>
      <c r="K13" s="79">
        <f t="shared" ca="1" si="8"/>
        <v>2094</v>
      </c>
      <c r="L13" s="29">
        <f t="shared" ca="1" si="9"/>
        <v>78</v>
      </c>
      <c r="M13" s="79">
        <f t="shared" ca="1" si="10"/>
        <v>2126</v>
      </c>
      <c r="N13" s="29">
        <f t="shared" ca="1" si="11"/>
        <v>65</v>
      </c>
      <c r="O13" s="79">
        <f t="shared" ca="1" si="12"/>
        <v>2370</v>
      </c>
      <c r="P13" s="29">
        <f t="shared" ca="1" si="13"/>
        <v>60</v>
      </c>
      <c r="Q13" s="79">
        <f t="shared" ca="1" si="14"/>
        <v>2135</v>
      </c>
      <c r="R13" s="29">
        <f t="shared" ca="1" si="15"/>
        <v>66</v>
      </c>
      <c r="S13" s="79"/>
      <c r="T13" s="29"/>
      <c r="U13" s="79"/>
      <c r="V13" s="29"/>
      <c r="W13" s="79"/>
      <c r="X13" s="29"/>
      <c r="Y13" s="79"/>
      <c r="Z13" s="29"/>
    </row>
    <row r="14" spans="2:26" ht="15.75" x14ac:dyDescent="0.25">
      <c r="B14" s="183">
        <v>10</v>
      </c>
      <c r="C14" s="79">
        <f t="shared" ca="1" si="16"/>
        <v>2153</v>
      </c>
      <c r="D14" s="29">
        <f t="shared" ca="1" si="1"/>
        <v>73</v>
      </c>
      <c r="E14" s="79">
        <f t="shared" ca="1" si="2"/>
        <v>2841</v>
      </c>
      <c r="F14" s="29">
        <f t="shared" ca="1" si="3"/>
        <v>69</v>
      </c>
      <c r="G14" s="79">
        <f t="shared" ca="1" si="4"/>
        <v>2165</v>
      </c>
      <c r="H14" s="29">
        <f t="shared" ca="1" si="5"/>
        <v>74</v>
      </c>
      <c r="I14" s="79">
        <f t="shared" ca="1" si="6"/>
        <v>2527</v>
      </c>
      <c r="J14" s="29">
        <f t="shared" ca="1" si="7"/>
        <v>78</v>
      </c>
      <c r="K14" s="79">
        <f t="shared" ca="1" si="8"/>
        <v>2063</v>
      </c>
      <c r="L14" s="29">
        <f t="shared" ca="1" si="9"/>
        <v>61</v>
      </c>
      <c r="M14" s="79">
        <f t="shared" ca="1" si="10"/>
        <v>2429</v>
      </c>
      <c r="N14" s="29">
        <f t="shared" ca="1" si="11"/>
        <v>79</v>
      </c>
      <c r="O14" s="79">
        <f t="shared" ca="1" si="12"/>
        <v>2842</v>
      </c>
      <c r="P14" s="29">
        <f t="shared" ca="1" si="13"/>
        <v>78</v>
      </c>
      <c r="Q14" s="79">
        <f t="shared" ca="1" si="14"/>
        <v>2014</v>
      </c>
      <c r="R14" s="29">
        <f t="shared" ca="1" si="15"/>
        <v>61</v>
      </c>
      <c r="S14" s="79"/>
      <c r="T14" s="29"/>
      <c r="U14" s="79"/>
      <c r="V14" s="29"/>
      <c r="W14" s="79"/>
      <c r="X14" s="29"/>
      <c r="Y14" s="79"/>
      <c r="Z14" s="29"/>
    </row>
    <row r="15" spans="2:26" ht="15.75" x14ac:dyDescent="0.25">
      <c r="B15" s="183">
        <v>11</v>
      </c>
      <c r="C15" s="79">
        <f t="shared" ca="1" si="16"/>
        <v>2214</v>
      </c>
      <c r="D15" s="29">
        <f t="shared" ca="1" si="1"/>
        <v>73</v>
      </c>
      <c r="E15" s="79">
        <f t="shared" ca="1" si="2"/>
        <v>2873</v>
      </c>
      <c r="F15" s="29">
        <f t="shared" ca="1" si="3"/>
        <v>66</v>
      </c>
      <c r="G15" s="79">
        <f t="shared" ca="1" si="4"/>
        <v>2222</v>
      </c>
      <c r="H15" s="29">
        <f t="shared" ca="1" si="5"/>
        <v>78</v>
      </c>
      <c r="I15" s="79">
        <f t="shared" ca="1" si="6"/>
        <v>2269</v>
      </c>
      <c r="J15" s="29">
        <f t="shared" ca="1" si="7"/>
        <v>77</v>
      </c>
      <c r="K15" s="79">
        <f t="shared" ca="1" si="8"/>
        <v>2791</v>
      </c>
      <c r="L15" s="29">
        <f t="shared" ca="1" si="9"/>
        <v>77</v>
      </c>
      <c r="M15" s="79">
        <f t="shared" ca="1" si="10"/>
        <v>2404</v>
      </c>
      <c r="N15" s="29">
        <f t="shared" ca="1" si="11"/>
        <v>64</v>
      </c>
      <c r="O15" s="79">
        <f t="shared" ca="1" si="12"/>
        <v>2136</v>
      </c>
      <c r="P15" s="29">
        <f t="shared" ca="1" si="13"/>
        <v>66</v>
      </c>
      <c r="Q15" s="79">
        <f t="shared" ca="1" si="14"/>
        <v>2238</v>
      </c>
      <c r="R15" s="29">
        <f t="shared" ca="1" si="15"/>
        <v>75</v>
      </c>
      <c r="S15" s="79"/>
      <c r="T15" s="29"/>
      <c r="U15" s="79"/>
      <c r="V15" s="29"/>
      <c r="W15" s="79"/>
      <c r="X15" s="29"/>
      <c r="Y15" s="79"/>
      <c r="Z15" s="29"/>
    </row>
    <row r="16" spans="2:26" ht="15.75" x14ac:dyDescent="0.25">
      <c r="B16" s="183">
        <v>12</v>
      </c>
      <c r="C16" s="79">
        <f t="shared" ca="1" si="16"/>
        <v>2700</v>
      </c>
      <c r="D16" s="29">
        <f t="shared" ca="1" si="1"/>
        <v>80</v>
      </c>
      <c r="E16" s="79">
        <f t="shared" ca="1" si="2"/>
        <v>2574</v>
      </c>
      <c r="F16" s="29">
        <f t="shared" ca="1" si="3"/>
        <v>68</v>
      </c>
      <c r="G16" s="79">
        <f t="shared" ca="1" si="4"/>
        <v>2617</v>
      </c>
      <c r="H16" s="29">
        <f t="shared" ca="1" si="5"/>
        <v>65</v>
      </c>
      <c r="I16" s="79">
        <f t="shared" ca="1" si="6"/>
        <v>2569</v>
      </c>
      <c r="J16" s="29">
        <f t="shared" ca="1" si="7"/>
        <v>74</v>
      </c>
      <c r="K16" s="79">
        <f t="shared" ca="1" si="8"/>
        <v>2078</v>
      </c>
      <c r="L16" s="29">
        <f t="shared" ca="1" si="9"/>
        <v>61</v>
      </c>
      <c r="M16" s="79">
        <f t="shared" ca="1" si="10"/>
        <v>2085</v>
      </c>
      <c r="N16" s="29">
        <f t="shared" ca="1" si="11"/>
        <v>60</v>
      </c>
      <c r="O16" s="79">
        <f t="shared" ca="1" si="12"/>
        <v>2536</v>
      </c>
      <c r="P16" s="29">
        <f t="shared" ca="1" si="13"/>
        <v>75</v>
      </c>
      <c r="Q16" s="79">
        <f t="shared" ca="1" si="14"/>
        <v>2014</v>
      </c>
      <c r="R16" s="29">
        <f t="shared" ca="1" si="15"/>
        <v>75</v>
      </c>
      <c r="S16" s="79"/>
      <c r="T16" s="29"/>
      <c r="U16" s="79"/>
      <c r="V16" s="29"/>
      <c r="W16" s="79"/>
      <c r="X16" s="29"/>
      <c r="Y16" s="79"/>
      <c r="Z16" s="29"/>
    </row>
    <row r="17" spans="2:26" ht="15.75" x14ac:dyDescent="0.25">
      <c r="B17" s="183">
        <v>13</v>
      </c>
      <c r="C17" s="79">
        <f t="shared" ca="1" si="16"/>
        <v>2770</v>
      </c>
      <c r="D17" s="29">
        <f t="shared" ca="1" si="1"/>
        <v>67</v>
      </c>
      <c r="E17" s="79">
        <f t="shared" ca="1" si="2"/>
        <v>2428</v>
      </c>
      <c r="F17" s="29">
        <f t="shared" ca="1" si="3"/>
        <v>74</v>
      </c>
      <c r="G17" s="79">
        <f t="shared" ca="1" si="4"/>
        <v>2244</v>
      </c>
      <c r="H17" s="29">
        <f t="shared" ca="1" si="5"/>
        <v>71</v>
      </c>
      <c r="I17" s="79">
        <f t="shared" ca="1" si="6"/>
        <v>2230</v>
      </c>
      <c r="J17" s="29">
        <f t="shared" ca="1" si="7"/>
        <v>79</v>
      </c>
      <c r="K17" s="79">
        <f t="shared" ca="1" si="8"/>
        <v>2378</v>
      </c>
      <c r="L17" s="29">
        <f t="shared" ca="1" si="9"/>
        <v>69</v>
      </c>
      <c r="M17" s="79">
        <f t="shared" ca="1" si="10"/>
        <v>2273</v>
      </c>
      <c r="N17" s="29">
        <f t="shared" ca="1" si="11"/>
        <v>73</v>
      </c>
      <c r="O17" s="79">
        <f t="shared" ca="1" si="12"/>
        <v>2099</v>
      </c>
      <c r="P17" s="29">
        <f t="shared" ca="1" si="13"/>
        <v>66</v>
      </c>
      <c r="Q17" s="79">
        <f t="shared" ca="1" si="14"/>
        <v>2808</v>
      </c>
      <c r="R17" s="29">
        <f t="shared" ca="1" si="15"/>
        <v>67</v>
      </c>
      <c r="S17" s="79"/>
      <c r="T17" s="29"/>
      <c r="U17" s="79"/>
      <c r="V17" s="29"/>
      <c r="W17" s="79"/>
      <c r="X17" s="29"/>
      <c r="Y17" s="79"/>
      <c r="Z17" s="29"/>
    </row>
    <row r="18" spans="2:26" ht="15.75" x14ac:dyDescent="0.25">
      <c r="B18" s="183">
        <v>14</v>
      </c>
      <c r="C18" s="79">
        <f t="shared" ca="1" si="16"/>
        <v>2832</v>
      </c>
      <c r="D18" s="29">
        <f t="shared" ca="1" si="1"/>
        <v>71</v>
      </c>
      <c r="E18" s="79">
        <f t="shared" ca="1" si="2"/>
        <v>2763</v>
      </c>
      <c r="F18" s="29">
        <f t="shared" ca="1" si="3"/>
        <v>77</v>
      </c>
      <c r="G18" s="79">
        <f t="shared" ca="1" si="4"/>
        <v>2008</v>
      </c>
      <c r="H18" s="29">
        <f t="shared" ca="1" si="5"/>
        <v>69</v>
      </c>
      <c r="I18" s="79">
        <f t="shared" ca="1" si="6"/>
        <v>2405</v>
      </c>
      <c r="J18" s="29">
        <f t="shared" ca="1" si="7"/>
        <v>68</v>
      </c>
      <c r="K18" s="79">
        <f t="shared" ca="1" si="8"/>
        <v>2188</v>
      </c>
      <c r="L18" s="29">
        <f t="shared" ca="1" si="9"/>
        <v>60</v>
      </c>
      <c r="M18" s="79">
        <f t="shared" ca="1" si="10"/>
        <v>2416</v>
      </c>
      <c r="N18" s="29">
        <f t="shared" ca="1" si="11"/>
        <v>66</v>
      </c>
      <c r="O18" s="79">
        <f t="shared" ca="1" si="12"/>
        <v>2622</v>
      </c>
      <c r="P18" s="29">
        <f t="shared" ca="1" si="13"/>
        <v>65</v>
      </c>
      <c r="Q18" s="79">
        <f t="shared" ca="1" si="14"/>
        <v>2487</v>
      </c>
      <c r="R18" s="29">
        <f t="shared" ca="1" si="15"/>
        <v>71</v>
      </c>
      <c r="S18" s="79"/>
      <c r="T18" s="29"/>
      <c r="U18" s="79"/>
      <c r="V18" s="29"/>
      <c r="W18" s="79"/>
      <c r="X18" s="29"/>
      <c r="Y18" s="79"/>
      <c r="Z18" s="29"/>
    </row>
    <row r="19" spans="2:26" ht="15.75" x14ac:dyDescent="0.25">
      <c r="B19" s="183">
        <v>15</v>
      </c>
      <c r="C19" s="79">
        <f t="shared" ca="1" si="16"/>
        <v>2189</v>
      </c>
      <c r="D19" s="29">
        <f t="shared" ca="1" si="1"/>
        <v>71</v>
      </c>
      <c r="E19" s="79">
        <f t="shared" ca="1" si="2"/>
        <v>2884</v>
      </c>
      <c r="F19" s="29">
        <f t="shared" ca="1" si="3"/>
        <v>62</v>
      </c>
      <c r="G19" s="79">
        <f t="shared" ca="1" si="4"/>
        <v>2411</v>
      </c>
      <c r="H19" s="29">
        <f t="shared" ca="1" si="5"/>
        <v>64</v>
      </c>
      <c r="I19" s="79">
        <f t="shared" ca="1" si="6"/>
        <v>2821</v>
      </c>
      <c r="J19" s="29">
        <f t="shared" ca="1" si="7"/>
        <v>61</v>
      </c>
      <c r="K19" s="79">
        <f t="shared" ca="1" si="8"/>
        <v>2524</v>
      </c>
      <c r="L19" s="29">
        <f t="shared" ca="1" si="9"/>
        <v>79</v>
      </c>
      <c r="M19" s="79">
        <f t="shared" ca="1" si="10"/>
        <v>2114</v>
      </c>
      <c r="N19" s="29">
        <f t="shared" ca="1" si="11"/>
        <v>72</v>
      </c>
      <c r="O19" s="79">
        <f t="shared" ca="1" si="12"/>
        <v>2425</v>
      </c>
      <c r="P19" s="29">
        <f t="shared" ca="1" si="13"/>
        <v>79</v>
      </c>
      <c r="Q19" s="79">
        <f t="shared" ca="1" si="14"/>
        <v>2037</v>
      </c>
      <c r="R19" s="29">
        <f t="shared" ca="1" si="15"/>
        <v>69</v>
      </c>
      <c r="S19" s="79"/>
      <c r="T19" s="29"/>
      <c r="U19" s="79"/>
      <c r="V19" s="29"/>
      <c r="W19" s="79"/>
      <c r="X19" s="29"/>
      <c r="Y19" s="79"/>
      <c r="Z19" s="29"/>
    </row>
    <row r="20" spans="2:26" ht="15.75" x14ac:dyDescent="0.25">
      <c r="B20" s="183">
        <v>16</v>
      </c>
      <c r="C20" s="79">
        <f t="shared" ca="1" si="16"/>
        <v>2052</v>
      </c>
      <c r="D20" s="29">
        <f t="shared" ca="1" si="1"/>
        <v>68</v>
      </c>
      <c r="E20" s="79">
        <f t="shared" ca="1" si="2"/>
        <v>2837</v>
      </c>
      <c r="F20" s="29">
        <f t="shared" ca="1" si="3"/>
        <v>72</v>
      </c>
      <c r="G20" s="79">
        <f t="shared" ca="1" si="4"/>
        <v>2671</v>
      </c>
      <c r="H20" s="29">
        <f t="shared" ca="1" si="5"/>
        <v>66</v>
      </c>
      <c r="I20" s="79">
        <f t="shared" ca="1" si="6"/>
        <v>2196</v>
      </c>
      <c r="J20" s="29">
        <f t="shared" ca="1" si="7"/>
        <v>61</v>
      </c>
      <c r="K20" s="79">
        <f t="shared" ca="1" si="8"/>
        <v>2311</v>
      </c>
      <c r="L20" s="29">
        <f t="shared" ca="1" si="9"/>
        <v>72</v>
      </c>
      <c r="M20" s="79">
        <f t="shared" ca="1" si="10"/>
        <v>2607</v>
      </c>
      <c r="N20" s="29">
        <f t="shared" ca="1" si="11"/>
        <v>64</v>
      </c>
      <c r="O20" s="79">
        <f t="shared" ca="1" si="12"/>
        <v>2257</v>
      </c>
      <c r="P20" s="29">
        <f t="shared" ca="1" si="13"/>
        <v>68</v>
      </c>
      <c r="Q20" s="79">
        <f t="shared" ca="1" si="14"/>
        <v>2354</v>
      </c>
      <c r="R20" s="29">
        <f t="shared" ca="1" si="15"/>
        <v>70</v>
      </c>
      <c r="S20" s="79"/>
      <c r="T20" s="29"/>
      <c r="U20" s="79"/>
      <c r="V20" s="29"/>
      <c r="W20" s="79"/>
      <c r="X20" s="29"/>
      <c r="Y20" s="79"/>
      <c r="Z20" s="29"/>
    </row>
    <row r="21" spans="2:26" ht="15.75" x14ac:dyDescent="0.25">
      <c r="B21" s="183">
        <v>17</v>
      </c>
      <c r="C21" s="79">
        <f t="shared" ca="1" si="16"/>
        <v>2873</v>
      </c>
      <c r="D21" s="29">
        <f t="shared" ca="1" si="1"/>
        <v>65</v>
      </c>
      <c r="E21" s="79">
        <f t="shared" ca="1" si="2"/>
        <v>2265</v>
      </c>
      <c r="F21" s="29">
        <f t="shared" ca="1" si="3"/>
        <v>62</v>
      </c>
      <c r="G21" s="79">
        <f t="shared" ca="1" si="4"/>
        <v>2066</v>
      </c>
      <c r="H21" s="29">
        <f t="shared" ca="1" si="5"/>
        <v>80</v>
      </c>
      <c r="I21" s="79">
        <f t="shared" ca="1" si="6"/>
        <v>2928</v>
      </c>
      <c r="J21" s="29">
        <f t="shared" ca="1" si="7"/>
        <v>75</v>
      </c>
      <c r="K21" s="79">
        <f t="shared" ca="1" si="8"/>
        <v>2781</v>
      </c>
      <c r="L21" s="29">
        <f t="shared" ca="1" si="9"/>
        <v>68</v>
      </c>
      <c r="M21" s="79">
        <f t="shared" ca="1" si="10"/>
        <v>2224</v>
      </c>
      <c r="N21" s="29">
        <f t="shared" ca="1" si="11"/>
        <v>70</v>
      </c>
      <c r="O21" s="79">
        <f t="shared" ca="1" si="12"/>
        <v>2603</v>
      </c>
      <c r="P21" s="29">
        <f t="shared" ca="1" si="13"/>
        <v>77</v>
      </c>
      <c r="Q21" s="79">
        <f t="shared" ca="1" si="14"/>
        <v>2296</v>
      </c>
      <c r="R21" s="29">
        <f t="shared" ca="1" si="15"/>
        <v>70</v>
      </c>
      <c r="S21" s="79"/>
      <c r="T21" s="29"/>
      <c r="U21" s="79"/>
      <c r="V21" s="29"/>
      <c r="W21" s="79"/>
      <c r="X21" s="29"/>
      <c r="Y21" s="79"/>
      <c r="Z21" s="29"/>
    </row>
    <row r="22" spans="2:26" ht="15.75" x14ac:dyDescent="0.25">
      <c r="B22" s="183">
        <v>18</v>
      </c>
      <c r="C22" s="79">
        <f t="shared" ca="1" si="16"/>
        <v>2506</v>
      </c>
      <c r="D22" s="29">
        <f t="shared" ca="1" si="1"/>
        <v>74</v>
      </c>
      <c r="E22" s="79">
        <f t="shared" ca="1" si="2"/>
        <v>2120</v>
      </c>
      <c r="F22" s="29">
        <f t="shared" ca="1" si="3"/>
        <v>75</v>
      </c>
      <c r="G22" s="79">
        <f t="shared" ca="1" si="4"/>
        <v>2307</v>
      </c>
      <c r="H22" s="29">
        <f t="shared" ca="1" si="5"/>
        <v>62</v>
      </c>
      <c r="I22" s="79">
        <f t="shared" ca="1" si="6"/>
        <v>2112</v>
      </c>
      <c r="J22" s="29">
        <f t="shared" ca="1" si="7"/>
        <v>69</v>
      </c>
      <c r="K22" s="79">
        <f t="shared" ca="1" si="8"/>
        <v>2134</v>
      </c>
      <c r="L22" s="29">
        <f t="shared" ca="1" si="9"/>
        <v>69</v>
      </c>
      <c r="M22" s="79">
        <f t="shared" ca="1" si="10"/>
        <v>2731</v>
      </c>
      <c r="N22" s="29">
        <f t="shared" ca="1" si="11"/>
        <v>72</v>
      </c>
      <c r="O22" s="79">
        <f t="shared" ca="1" si="12"/>
        <v>2946</v>
      </c>
      <c r="P22" s="29">
        <f t="shared" ca="1" si="13"/>
        <v>60</v>
      </c>
      <c r="Q22" s="79">
        <f t="shared" ca="1" si="14"/>
        <v>2172</v>
      </c>
      <c r="R22" s="29">
        <f t="shared" ca="1" si="15"/>
        <v>69</v>
      </c>
      <c r="S22" s="79"/>
      <c r="T22" s="29"/>
      <c r="U22" s="79"/>
      <c r="V22" s="29"/>
      <c r="W22" s="79"/>
      <c r="X22" s="29"/>
      <c r="Y22" s="79"/>
      <c r="Z22" s="29"/>
    </row>
    <row r="23" spans="2:26" ht="15.75" x14ac:dyDescent="0.25">
      <c r="B23" s="183">
        <v>19</v>
      </c>
      <c r="C23" s="79">
        <f t="shared" ca="1" si="16"/>
        <v>2574</v>
      </c>
      <c r="D23" s="29">
        <f t="shared" ca="1" si="1"/>
        <v>73</v>
      </c>
      <c r="E23" s="79">
        <f t="shared" ca="1" si="2"/>
        <v>2231</v>
      </c>
      <c r="F23" s="29">
        <f t="shared" ca="1" si="3"/>
        <v>76</v>
      </c>
      <c r="G23" s="79">
        <f t="shared" ca="1" si="4"/>
        <v>2203</v>
      </c>
      <c r="H23" s="29">
        <f t="shared" ca="1" si="5"/>
        <v>75</v>
      </c>
      <c r="I23" s="79">
        <f t="shared" ca="1" si="6"/>
        <v>2786</v>
      </c>
      <c r="J23" s="29">
        <f t="shared" ca="1" si="7"/>
        <v>62</v>
      </c>
      <c r="K23" s="79">
        <f t="shared" ca="1" si="8"/>
        <v>2048</v>
      </c>
      <c r="L23" s="29">
        <f t="shared" ca="1" si="9"/>
        <v>70</v>
      </c>
      <c r="M23" s="79">
        <f t="shared" ca="1" si="10"/>
        <v>2093</v>
      </c>
      <c r="N23" s="29">
        <f t="shared" ca="1" si="11"/>
        <v>80</v>
      </c>
      <c r="O23" s="79">
        <f t="shared" ca="1" si="12"/>
        <v>2464</v>
      </c>
      <c r="P23" s="29">
        <f t="shared" ca="1" si="13"/>
        <v>66</v>
      </c>
      <c r="Q23" s="79">
        <f t="shared" ca="1" si="14"/>
        <v>2204</v>
      </c>
      <c r="R23" s="29">
        <f t="shared" ca="1" si="15"/>
        <v>68</v>
      </c>
      <c r="S23" s="79"/>
      <c r="T23" s="29"/>
      <c r="U23" s="79"/>
      <c r="V23" s="29"/>
      <c r="W23" s="79"/>
      <c r="X23" s="29"/>
      <c r="Y23" s="79"/>
      <c r="Z23" s="29"/>
    </row>
    <row r="24" spans="2:26" ht="15.75" x14ac:dyDescent="0.25">
      <c r="B24" s="183">
        <v>20</v>
      </c>
      <c r="C24" s="79">
        <f t="shared" ca="1" si="16"/>
        <v>2551</v>
      </c>
      <c r="D24" s="29">
        <f t="shared" ca="1" si="1"/>
        <v>79</v>
      </c>
      <c r="E24" s="79">
        <f t="shared" ca="1" si="2"/>
        <v>2603</v>
      </c>
      <c r="F24" s="29">
        <f t="shared" ca="1" si="3"/>
        <v>79</v>
      </c>
      <c r="G24" s="79">
        <f t="shared" ca="1" si="4"/>
        <v>2790</v>
      </c>
      <c r="H24" s="29">
        <f t="shared" ca="1" si="5"/>
        <v>75</v>
      </c>
      <c r="I24" s="79">
        <f t="shared" ca="1" si="6"/>
        <v>2514</v>
      </c>
      <c r="J24" s="29">
        <f t="shared" ca="1" si="7"/>
        <v>78</v>
      </c>
      <c r="K24" s="79">
        <f t="shared" ca="1" si="8"/>
        <v>2576</v>
      </c>
      <c r="L24" s="29">
        <f t="shared" ca="1" si="9"/>
        <v>63</v>
      </c>
      <c r="M24" s="79">
        <f t="shared" ca="1" si="10"/>
        <v>2030</v>
      </c>
      <c r="N24" s="29">
        <f t="shared" ca="1" si="11"/>
        <v>77</v>
      </c>
      <c r="O24" s="79">
        <f t="shared" ca="1" si="12"/>
        <v>2095</v>
      </c>
      <c r="P24" s="29">
        <f t="shared" ca="1" si="13"/>
        <v>77</v>
      </c>
      <c r="Q24" s="79">
        <f t="shared" ca="1" si="14"/>
        <v>2538</v>
      </c>
      <c r="R24" s="29">
        <f t="shared" ca="1" si="15"/>
        <v>60</v>
      </c>
      <c r="S24" s="79"/>
      <c r="T24" s="29"/>
      <c r="U24" s="79"/>
      <c r="V24" s="29"/>
      <c r="W24" s="79"/>
      <c r="X24" s="29"/>
      <c r="Y24" s="79"/>
      <c r="Z24" s="29"/>
    </row>
    <row r="25" spans="2:26" ht="15.75" x14ac:dyDescent="0.25">
      <c r="B25" s="183">
        <v>21</v>
      </c>
      <c r="C25" s="79">
        <f t="shared" ca="1" si="16"/>
        <v>2612</v>
      </c>
      <c r="D25" s="29">
        <f t="shared" ca="1" si="1"/>
        <v>75</v>
      </c>
      <c r="E25" s="79">
        <f t="shared" ca="1" si="2"/>
        <v>2817</v>
      </c>
      <c r="F25" s="29">
        <f t="shared" ca="1" si="3"/>
        <v>72</v>
      </c>
      <c r="G25" s="79">
        <f t="shared" ca="1" si="4"/>
        <v>2056</v>
      </c>
      <c r="H25" s="29">
        <f t="shared" ca="1" si="5"/>
        <v>66</v>
      </c>
      <c r="I25" s="79">
        <f t="shared" ca="1" si="6"/>
        <v>2398</v>
      </c>
      <c r="J25" s="29">
        <f t="shared" ca="1" si="7"/>
        <v>63</v>
      </c>
      <c r="K25" s="79">
        <f t="shared" ca="1" si="8"/>
        <v>2858</v>
      </c>
      <c r="L25" s="29">
        <f t="shared" ca="1" si="9"/>
        <v>79</v>
      </c>
      <c r="M25" s="79">
        <f t="shared" ca="1" si="10"/>
        <v>2735</v>
      </c>
      <c r="N25" s="29">
        <f t="shared" ca="1" si="11"/>
        <v>65</v>
      </c>
      <c r="O25" s="79">
        <f t="shared" ca="1" si="12"/>
        <v>2823</v>
      </c>
      <c r="P25" s="29">
        <f t="shared" ca="1" si="13"/>
        <v>62</v>
      </c>
      <c r="Q25" s="79">
        <f t="shared" ca="1" si="14"/>
        <v>2680</v>
      </c>
      <c r="R25" s="29">
        <f t="shared" ca="1" si="15"/>
        <v>67</v>
      </c>
      <c r="S25" s="79"/>
      <c r="T25" s="29"/>
      <c r="U25" s="79"/>
      <c r="V25" s="29"/>
      <c r="W25" s="79"/>
      <c r="X25" s="29"/>
      <c r="Y25" s="79"/>
      <c r="Z25" s="29"/>
    </row>
    <row r="26" spans="2:26" ht="15.75" x14ac:dyDescent="0.25">
      <c r="B26" s="183">
        <v>22</v>
      </c>
      <c r="C26" s="79">
        <f t="shared" ca="1" si="16"/>
        <v>2275</v>
      </c>
      <c r="D26" s="29">
        <f t="shared" ca="1" si="1"/>
        <v>75</v>
      </c>
      <c r="E26" s="79">
        <f t="shared" ca="1" si="2"/>
        <v>2615</v>
      </c>
      <c r="F26" s="29">
        <f t="shared" ca="1" si="3"/>
        <v>68</v>
      </c>
      <c r="G26" s="79">
        <f t="shared" ca="1" si="4"/>
        <v>2033</v>
      </c>
      <c r="H26" s="29">
        <f t="shared" ca="1" si="5"/>
        <v>66</v>
      </c>
      <c r="I26" s="79">
        <f t="shared" ca="1" si="6"/>
        <v>2280</v>
      </c>
      <c r="J26" s="29">
        <f t="shared" ca="1" si="7"/>
        <v>78</v>
      </c>
      <c r="K26" s="79">
        <f t="shared" ca="1" si="8"/>
        <v>2169</v>
      </c>
      <c r="L26" s="29">
        <f t="shared" ca="1" si="9"/>
        <v>62</v>
      </c>
      <c r="M26" s="79">
        <f t="shared" ca="1" si="10"/>
        <v>2869</v>
      </c>
      <c r="N26" s="29">
        <f t="shared" ca="1" si="11"/>
        <v>68</v>
      </c>
      <c r="O26" s="79">
        <f t="shared" ca="1" si="12"/>
        <v>2395</v>
      </c>
      <c r="P26" s="29">
        <f t="shared" ca="1" si="13"/>
        <v>80</v>
      </c>
      <c r="Q26" s="79">
        <f t="shared" ca="1" si="14"/>
        <v>2376</v>
      </c>
      <c r="R26" s="29">
        <f t="shared" ca="1" si="15"/>
        <v>73</v>
      </c>
      <c r="S26" s="79"/>
      <c r="T26" s="29"/>
      <c r="U26" s="79"/>
      <c r="V26" s="29"/>
      <c r="W26" s="79"/>
      <c r="X26" s="29"/>
      <c r="Y26" s="79"/>
      <c r="Z26" s="29"/>
    </row>
    <row r="27" spans="2:26" ht="15.75" x14ac:dyDescent="0.25">
      <c r="B27" s="183">
        <v>23</v>
      </c>
      <c r="C27" s="79">
        <f t="shared" ca="1" si="16"/>
        <v>2441</v>
      </c>
      <c r="D27" s="29">
        <f t="shared" ca="1" si="1"/>
        <v>60</v>
      </c>
      <c r="E27" s="79">
        <f t="shared" ca="1" si="2"/>
        <v>2782</v>
      </c>
      <c r="F27" s="29">
        <f t="shared" ca="1" si="3"/>
        <v>70</v>
      </c>
      <c r="G27" s="79">
        <f t="shared" ca="1" si="4"/>
        <v>2895</v>
      </c>
      <c r="H27" s="29">
        <f t="shared" ca="1" si="5"/>
        <v>69</v>
      </c>
      <c r="I27" s="79">
        <f t="shared" ca="1" si="6"/>
        <v>2205</v>
      </c>
      <c r="J27" s="29">
        <f t="shared" ca="1" si="7"/>
        <v>62</v>
      </c>
      <c r="K27" s="79">
        <f t="shared" ca="1" si="8"/>
        <v>2033</v>
      </c>
      <c r="L27" s="29">
        <f t="shared" ca="1" si="9"/>
        <v>79</v>
      </c>
      <c r="M27" s="79">
        <f t="shared" ca="1" si="10"/>
        <v>2687</v>
      </c>
      <c r="N27" s="29">
        <f t="shared" ca="1" si="11"/>
        <v>79</v>
      </c>
      <c r="O27" s="79">
        <f t="shared" ca="1" si="12"/>
        <v>2815</v>
      </c>
      <c r="P27" s="29">
        <f t="shared" ca="1" si="13"/>
        <v>67</v>
      </c>
      <c r="Q27" s="79">
        <f t="shared" ca="1" si="14"/>
        <v>2046</v>
      </c>
      <c r="R27" s="29">
        <f t="shared" ca="1" si="15"/>
        <v>77</v>
      </c>
      <c r="S27" s="79"/>
      <c r="T27" s="29"/>
      <c r="U27" s="79"/>
      <c r="V27" s="29"/>
      <c r="W27" s="79"/>
      <c r="X27" s="29"/>
      <c r="Y27" s="79"/>
      <c r="Z27" s="29"/>
    </row>
    <row r="28" spans="2:26" ht="15.75" x14ac:dyDescent="0.25">
      <c r="B28" s="183">
        <v>24</v>
      </c>
      <c r="C28" s="79">
        <f t="shared" ca="1" si="16"/>
        <v>2110</v>
      </c>
      <c r="D28" s="29">
        <f t="shared" ca="1" si="1"/>
        <v>73</v>
      </c>
      <c r="E28" s="79">
        <f t="shared" ca="1" si="2"/>
        <v>2868</v>
      </c>
      <c r="F28" s="29">
        <f t="shared" ca="1" si="3"/>
        <v>80</v>
      </c>
      <c r="G28" s="79">
        <f t="shared" ca="1" si="4"/>
        <v>2686</v>
      </c>
      <c r="H28" s="29">
        <f t="shared" ca="1" si="5"/>
        <v>70</v>
      </c>
      <c r="I28" s="79">
        <f t="shared" ca="1" si="6"/>
        <v>2013</v>
      </c>
      <c r="J28" s="29">
        <f t="shared" ca="1" si="7"/>
        <v>77</v>
      </c>
      <c r="K28" s="79">
        <f t="shared" ca="1" si="8"/>
        <v>2653</v>
      </c>
      <c r="L28" s="29">
        <f t="shared" ca="1" si="9"/>
        <v>62</v>
      </c>
      <c r="M28" s="79">
        <f t="shared" ca="1" si="10"/>
        <v>2586</v>
      </c>
      <c r="N28" s="29">
        <f t="shared" ca="1" si="11"/>
        <v>77</v>
      </c>
      <c r="O28" s="79">
        <f t="shared" ca="1" si="12"/>
        <v>2622</v>
      </c>
      <c r="P28" s="29">
        <f t="shared" ca="1" si="13"/>
        <v>63</v>
      </c>
      <c r="Q28" s="79">
        <f t="shared" ca="1" si="14"/>
        <v>2029</v>
      </c>
      <c r="R28" s="29">
        <f t="shared" ca="1" si="15"/>
        <v>69</v>
      </c>
      <c r="S28" s="79"/>
      <c r="T28" s="29"/>
      <c r="U28" s="79"/>
      <c r="V28" s="29"/>
      <c r="W28" s="79"/>
      <c r="X28" s="29"/>
      <c r="Y28" s="79"/>
      <c r="Z28" s="29"/>
    </row>
    <row r="29" spans="2:26" ht="15.75" x14ac:dyDescent="0.25">
      <c r="B29" s="183">
        <v>25</v>
      </c>
      <c r="C29" s="79">
        <f t="shared" ca="1" si="16"/>
        <v>2667</v>
      </c>
      <c r="D29" s="29">
        <f t="shared" ca="1" si="1"/>
        <v>72</v>
      </c>
      <c r="E29" s="79">
        <f t="shared" ca="1" si="2"/>
        <v>2143</v>
      </c>
      <c r="F29" s="29">
        <f t="shared" ca="1" si="3"/>
        <v>63</v>
      </c>
      <c r="G29" s="79">
        <f t="shared" ca="1" si="4"/>
        <v>2553</v>
      </c>
      <c r="H29" s="29">
        <f t="shared" ca="1" si="5"/>
        <v>72</v>
      </c>
      <c r="I29" s="79">
        <f t="shared" ca="1" si="6"/>
        <v>2923</v>
      </c>
      <c r="J29" s="29">
        <f t="shared" ca="1" si="7"/>
        <v>73</v>
      </c>
      <c r="K29" s="79">
        <f t="shared" ca="1" si="8"/>
        <v>2679</v>
      </c>
      <c r="L29" s="29">
        <f t="shared" ca="1" si="9"/>
        <v>64</v>
      </c>
      <c r="M29" s="79">
        <f t="shared" ca="1" si="10"/>
        <v>2091</v>
      </c>
      <c r="N29" s="29">
        <f t="shared" ca="1" si="11"/>
        <v>75</v>
      </c>
      <c r="O29" s="79">
        <f t="shared" ca="1" si="12"/>
        <v>2883</v>
      </c>
      <c r="P29" s="29">
        <f t="shared" ca="1" si="13"/>
        <v>74</v>
      </c>
      <c r="Q29" s="79">
        <f t="shared" ca="1" si="14"/>
        <v>2184</v>
      </c>
      <c r="R29" s="29">
        <f t="shared" ca="1" si="15"/>
        <v>73</v>
      </c>
      <c r="S29" s="79"/>
      <c r="T29" s="29"/>
      <c r="U29" s="79"/>
      <c r="V29" s="29"/>
      <c r="W29" s="79"/>
      <c r="X29" s="29"/>
      <c r="Y29" s="79"/>
      <c r="Z29" s="29"/>
    </row>
    <row r="30" spans="2:26" ht="15.75" x14ac:dyDescent="0.25">
      <c r="B30" s="183">
        <v>26</v>
      </c>
      <c r="C30" s="79">
        <f t="shared" ca="1" si="16"/>
        <v>2243</v>
      </c>
      <c r="D30" s="29">
        <f t="shared" ca="1" si="1"/>
        <v>79</v>
      </c>
      <c r="E30" s="79">
        <f t="shared" ca="1" si="2"/>
        <v>2619</v>
      </c>
      <c r="F30" s="29">
        <f t="shared" ca="1" si="3"/>
        <v>75</v>
      </c>
      <c r="G30" s="79">
        <f t="shared" ca="1" si="4"/>
        <v>2993</v>
      </c>
      <c r="H30" s="29">
        <f t="shared" ca="1" si="5"/>
        <v>63</v>
      </c>
      <c r="I30" s="79">
        <f t="shared" ca="1" si="6"/>
        <v>2161</v>
      </c>
      <c r="J30" s="29">
        <f t="shared" ca="1" si="7"/>
        <v>66</v>
      </c>
      <c r="K30" s="79">
        <f t="shared" ca="1" si="8"/>
        <v>2569</v>
      </c>
      <c r="L30" s="29">
        <f t="shared" ca="1" si="9"/>
        <v>73</v>
      </c>
      <c r="M30" s="79">
        <f t="shared" ca="1" si="10"/>
        <v>2572</v>
      </c>
      <c r="N30" s="29">
        <f t="shared" ca="1" si="11"/>
        <v>80</v>
      </c>
      <c r="O30" s="79">
        <f t="shared" ca="1" si="12"/>
        <v>2932</v>
      </c>
      <c r="P30" s="29">
        <f t="shared" ca="1" si="13"/>
        <v>78</v>
      </c>
      <c r="Q30" s="79">
        <f t="shared" ca="1" si="14"/>
        <v>2764</v>
      </c>
      <c r="R30" s="29">
        <f t="shared" ca="1" si="15"/>
        <v>66</v>
      </c>
      <c r="S30" s="79"/>
      <c r="T30" s="29"/>
      <c r="U30" s="79"/>
      <c r="V30" s="29"/>
      <c r="W30" s="79"/>
      <c r="X30" s="29"/>
      <c r="Y30" s="79"/>
      <c r="Z30" s="29"/>
    </row>
    <row r="31" spans="2:26" ht="15.75" x14ac:dyDescent="0.25">
      <c r="B31" s="183">
        <v>27</v>
      </c>
      <c r="C31" s="79">
        <f t="shared" ca="1" si="16"/>
        <v>2936</v>
      </c>
      <c r="D31" s="29">
        <f t="shared" ca="1" si="1"/>
        <v>64</v>
      </c>
      <c r="E31" s="79">
        <f t="shared" ca="1" si="2"/>
        <v>2943</v>
      </c>
      <c r="F31" s="29">
        <f t="shared" ca="1" si="3"/>
        <v>63</v>
      </c>
      <c r="G31" s="79">
        <f t="shared" ca="1" si="4"/>
        <v>2632</v>
      </c>
      <c r="H31" s="29">
        <f t="shared" ca="1" si="5"/>
        <v>75</v>
      </c>
      <c r="I31" s="79">
        <f t="shared" ca="1" si="6"/>
        <v>2132</v>
      </c>
      <c r="J31" s="29">
        <f t="shared" ca="1" si="7"/>
        <v>60</v>
      </c>
      <c r="K31" s="79">
        <f t="shared" ca="1" si="8"/>
        <v>2845</v>
      </c>
      <c r="L31" s="29">
        <f t="shared" ca="1" si="9"/>
        <v>77</v>
      </c>
      <c r="M31" s="79">
        <f t="shared" ca="1" si="10"/>
        <v>2877</v>
      </c>
      <c r="N31" s="29">
        <f t="shared" ca="1" si="11"/>
        <v>77</v>
      </c>
      <c r="O31" s="79">
        <f t="shared" ca="1" si="12"/>
        <v>2224</v>
      </c>
      <c r="P31" s="29">
        <f t="shared" ca="1" si="13"/>
        <v>76</v>
      </c>
      <c r="Q31" s="79">
        <f t="shared" ca="1" si="14"/>
        <v>2939</v>
      </c>
      <c r="R31" s="29">
        <f t="shared" ca="1" si="15"/>
        <v>80</v>
      </c>
      <c r="S31" s="79"/>
      <c r="T31" s="29"/>
      <c r="U31" s="79"/>
      <c r="V31" s="29"/>
      <c r="W31" s="79"/>
      <c r="X31" s="29"/>
      <c r="Y31" s="79"/>
      <c r="Z31" s="29"/>
    </row>
    <row r="32" spans="2:26" ht="16.5" thickBot="1" x14ac:dyDescent="0.3">
      <c r="B32" s="183">
        <v>28</v>
      </c>
      <c r="C32" s="79">
        <f t="shared" ca="1" si="16"/>
        <v>2917</v>
      </c>
      <c r="D32" s="29">
        <f t="shared" ca="1" si="1"/>
        <v>76</v>
      </c>
      <c r="E32" s="81">
        <f t="shared" ca="1" si="2"/>
        <v>2972</v>
      </c>
      <c r="F32" s="30">
        <f t="shared" ca="1" si="3"/>
        <v>77</v>
      </c>
      <c r="G32" s="79">
        <f t="shared" ca="1" si="4"/>
        <v>2573</v>
      </c>
      <c r="H32" s="29">
        <f t="shared" ca="1" si="5"/>
        <v>68</v>
      </c>
      <c r="I32" s="79">
        <f t="shared" ca="1" si="6"/>
        <v>2114</v>
      </c>
      <c r="J32" s="29">
        <f t="shared" ca="1" si="7"/>
        <v>79</v>
      </c>
      <c r="K32" s="79">
        <f t="shared" ca="1" si="8"/>
        <v>2668</v>
      </c>
      <c r="L32" s="29">
        <f t="shared" ca="1" si="9"/>
        <v>64</v>
      </c>
      <c r="M32" s="79">
        <f t="shared" ca="1" si="10"/>
        <v>2792</v>
      </c>
      <c r="N32" s="29">
        <f t="shared" ca="1" si="11"/>
        <v>67</v>
      </c>
      <c r="O32" s="79">
        <f t="shared" ca="1" si="12"/>
        <v>2406</v>
      </c>
      <c r="P32" s="29">
        <f t="shared" ca="1" si="13"/>
        <v>63</v>
      </c>
      <c r="Q32" s="79">
        <f t="shared" ca="1" si="14"/>
        <v>2319</v>
      </c>
      <c r="R32" s="29">
        <f t="shared" ca="1" si="15"/>
        <v>73</v>
      </c>
      <c r="S32" s="79"/>
      <c r="T32" s="29"/>
      <c r="U32" s="79"/>
      <c r="V32" s="29"/>
      <c r="W32" s="79"/>
      <c r="X32" s="29"/>
      <c r="Y32" s="79"/>
      <c r="Z32" s="29"/>
    </row>
    <row r="33" spans="2:26" ht="16.5" thickTop="1" x14ac:dyDescent="0.25">
      <c r="B33" s="183">
        <v>29</v>
      </c>
      <c r="C33" s="79">
        <f t="shared" ca="1" si="16"/>
        <v>2026</v>
      </c>
      <c r="D33" s="29">
        <f t="shared" ca="1" si="1"/>
        <v>61</v>
      </c>
      <c r="E33" s="177"/>
      <c r="F33" s="178"/>
      <c r="G33" s="79">
        <f t="shared" ca="1" si="4"/>
        <v>2576</v>
      </c>
      <c r="H33" s="29">
        <f t="shared" ca="1" si="5"/>
        <v>73</v>
      </c>
      <c r="I33" s="79">
        <f t="shared" ca="1" si="6"/>
        <v>2403</v>
      </c>
      <c r="J33" s="29">
        <f t="shared" ca="1" si="7"/>
        <v>65</v>
      </c>
      <c r="K33" s="79">
        <f t="shared" ca="1" si="8"/>
        <v>2866</v>
      </c>
      <c r="L33" s="29">
        <f t="shared" ca="1" si="9"/>
        <v>72</v>
      </c>
      <c r="M33" s="79">
        <f t="shared" ca="1" si="10"/>
        <v>2878</v>
      </c>
      <c r="N33" s="29">
        <f t="shared" ca="1" si="11"/>
        <v>77</v>
      </c>
      <c r="O33" s="79">
        <f t="shared" ca="1" si="12"/>
        <v>2841</v>
      </c>
      <c r="P33" s="29">
        <f t="shared" ca="1" si="13"/>
        <v>74</v>
      </c>
      <c r="Q33" s="79">
        <f t="shared" ca="1" si="14"/>
        <v>2145</v>
      </c>
      <c r="R33" s="29">
        <f t="shared" ca="1" si="15"/>
        <v>60</v>
      </c>
      <c r="S33" s="79"/>
      <c r="T33" s="29"/>
      <c r="U33" s="79"/>
      <c r="V33" s="29"/>
      <c r="W33" s="79"/>
      <c r="X33" s="29"/>
      <c r="Y33" s="79"/>
      <c r="Z33" s="29"/>
    </row>
    <row r="34" spans="2:26" ht="16.5" thickBot="1" x14ac:dyDescent="0.3">
      <c r="B34" s="183">
        <v>30</v>
      </c>
      <c r="C34" s="79">
        <f t="shared" ca="1" si="16"/>
        <v>2153</v>
      </c>
      <c r="D34" s="29">
        <f t="shared" ca="1" si="1"/>
        <v>77</v>
      </c>
      <c r="E34" s="176"/>
      <c r="F34" s="29"/>
      <c r="G34" s="79">
        <f t="shared" ca="1" si="4"/>
        <v>2912</v>
      </c>
      <c r="H34" s="29">
        <f t="shared" ca="1" si="5"/>
        <v>74</v>
      </c>
      <c r="I34" s="81">
        <f t="shared" ca="1" si="6"/>
        <v>2189</v>
      </c>
      <c r="J34" s="30">
        <f t="shared" ca="1" si="7"/>
        <v>79</v>
      </c>
      <c r="K34" s="79">
        <f t="shared" ca="1" si="8"/>
        <v>2941</v>
      </c>
      <c r="L34" s="29">
        <f t="shared" ca="1" si="9"/>
        <v>67</v>
      </c>
      <c r="M34" s="81">
        <f t="shared" ca="1" si="10"/>
        <v>2827</v>
      </c>
      <c r="N34" s="30">
        <f t="shared" ca="1" si="11"/>
        <v>62</v>
      </c>
      <c r="O34" s="79">
        <f t="shared" ca="1" si="12"/>
        <v>2584</v>
      </c>
      <c r="P34" s="29">
        <f t="shared" ca="1" si="13"/>
        <v>71</v>
      </c>
      <c r="Q34" s="79">
        <f t="shared" ca="1" si="14"/>
        <v>2120</v>
      </c>
      <c r="R34" s="29">
        <f t="shared" ca="1" si="15"/>
        <v>70</v>
      </c>
      <c r="S34" s="81"/>
      <c r="T34" s="30"/>
      <c r="U34" s="79"/>
      <c r="V34" s="29"/>
      <c r="W34" s="81"/>
      <c r="X34" s="30"/>
      <c r="Y34" s="79"/>
      <c r="Z34" s="29"/>
    </row>
    <row r="35" spans="2:26" ht="17.25" thickTop="1" thickBot="1" x14ac:dyDescent="0.3">
      <c r="B35" s="184">
        <v>31</v>
      </c>
      <c r="C35" s="80">
        <f t="shared" ca="1" si="16"/>
        <v>2976</v>
      </c>
      <c r="D35" s="75">
        <f t="shared" ca="1" si="1"/>
        <v>73</v>
      </c>
      <c r="E35" s="179"/>
      <c r="F35" s="180"/>
      <c r="G35" s="80">
        <f t="shared" ca="1" si="4"/>
        <v>2339</v>
      </c>
      <c r="H35" s="75">
        <f t="shared" ca="1" si="5"/>
        <v>72</v>
      </c>
      <c r="I35" s="74"/>
      <c r="J35" s="75"/>
      <c r="K35" s="80">
        <f t="shared" ca="1" si="8"/>
        <v>2245</v>
      </c>
      <c r="L35" s="75">
        <f t="shared" ca="1" si="9"/>
        <v>72</v>
      </c>
      <c r="M35" s="74"/>
      <c r="N35" s="75"/>
      <c r="O35" s="80">
        <f t="shared" ca="1" si="12"/>
        <v>2170</v>
      </c>
      <c r="P35" s="75">
        <f t="shared" ca="1" si="13"/>
        <v>69</v>
      </c>
      <c r="Q35" s="80">
        <f t="shared" ca="1" si="14"/>
        <v>2124</v>
      </c>
      <c r="R35" s="75">
        <f t="shared" ca="1" si="15"/>
        <v>68</v>
      </c>
      <c r="S35" s="74"/>
      <c r="T35" s="75"/>
      <c r="U35" s="80"/>
      <c r="V35" s="75"/>
      <c r="W35" s="74"/>
      <c r="X35" s="75"/>
      <c r="Y35" s="80"/>
      <c r="Z35" s="75"/>
    </row>
    <row r="37" spans="2:26" ht="18.75" x14ac:dyDescent="0.3">
      <c r="B37" s="68" t="s">
        <v>152</v>
      </c>
      <c r="C37" s="68"/>
      <c r="D37" s="69"/>
    </row>
  </sheetData>
  <mergeCells count="12">
    <mergeCell ref="Y3:Z3"/>
    <mergeCell ref="C3:D3"/>
    <mergeCell ref="E3:F3"/>
    <mergeCell ref="G3:H3"/>
    <mergeCell ref="I3:J3"/>
    <mergeCell ref="K3:L3"/>
    <mergeCell ref="M3:N3"/>
    <mergeCell ref="O3:P3"/>
    <mergeCell ref="Q3:R3"/>
    <mergeCell ref="S3:T3"/>
    <mergeCell ref="U3:V3"/>
    <mergeCell ref="W3:X3"/>
  </mergeCells>
  <phoneticPr fontId="3" type="noConversion"/>
  <conditionalFormatting sqref="B5:Z35">
    <cfRule type="expression" dxfId="21" priority="1">
      <formula>OR(CELL("col")=COLUMN(),CELL("row")=ROW())</formula>
    </cfRule>
  </conditionalFormatting>
  <pageMargins left="0.7" right="0.7" top="0.75" bottom="0.75" header="0.3" footer="0.3"/>
  <pageSetup orientation="portrait" r:id="rId1"/>
  <ignoredErrors>
    <ignoredError sqref="D5:R31 D33:D35 G33:R34 G35:H35 K35:L35 O35:R35 D32:E32 F32:R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0D95C-A8EF-4B7A-AD55-E6D14A87E9AE}">
  <sheetPr codeName="Sheet5">
    <tabColor theme="5" tint="0.79998168889431442"/>
  </sheetPr>
  <dimension ref="C22:OF37"/>
  <sheetViews>
    <sheetView showGridLines="0" zoomScale="90" zoomScaleNormal="90" workbookViewId="0">
      <selection activeCell="AB32" sqref="AB32"/>
    </sheetView>
  </sheetViews>
  <sheetFormatPr defaultRowHeight="12.75" x14ac:dyDescent="0.2"/>
  <cols>
    <col min="1" max="1" width="15.42578125" bestFit="1" customWidth="1"/>
    <col min="2" max="32" width="7.85546875" bestFit="1" customWidth="1"/>
    <col min="33" max="33" width="11.7109375" bestFit="1" customWidth="1"/>
    <col min="34" max="62" width="15.42578125" bestFit="1" customWidth="1"/>
    <col min="63" max="64" width="20.7109375" bestFit="1" customWidth="1"/>
    <col min="65" max="93" width="15.42578125" bestFit="1" customWidth="1"/>
    <col min="94" max="96" width="20.7109375" bestFit="1" customWidth="1"/>
    <col min="97" max="384" width="20" bestFit="1" customWidth="1"/>
    <col min="385" max="393" width="24.28515625" bestFit="1" customWidth="1"/>
    <col min="394" max="396" width="25.28515625" bestFit="1" customWidth="1"/>
  </cols>
  <sheetData>
    <row r="22" spans="29:29" x14ac:dyDescent="0.2">
      <c r="AC22" s="2" t="s">
        <v>132</v>
      </c>
    </row>
    <row r="37" spans="3:396" s="60" customFormat="1" x14ac:dyDescent="0.2">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row>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9E92-6C14-4C90-A1B2-7393CB75084C}">
  <sheetPr codeName="Sheet6"/>
  <dimension ref="C1:I368"/>
  <sheetViews>
    <sheetView workbookViewId="0">
      <selection activeCell="L16" sqref="L16"/>
    </sheetView>
  </sheetViews>
  <sheetFormatPr defaultRowHeight="12.75" x14ac:dyDescent="0.2"/>
  <cols>
    <col min="3" max="3" width="9.28515625" bestFit="1" customWidth="1"/>
    <col min="4" max="4" width="10.5703125" bestFit="1" customWidth="1"/>
    <col min="5" max="5" width="8.5703125" style="6" bestFit="1" customWidth="1"/>
    <col min="6" max="6" width="15.85546875" bestFit="1" customWidth="1"/>
    <col min="7" max="7" width="11.140625" bestFit="1" customWidth="1"/>
    <col min="8" max="8" width="15" style="8" customWidth="1"/>
    <col min="9" max="9" width="16.7109375" style="8" customWidth="1"/>
    <col min="10" max="10" width="11.28515625" bestFit="1" customWidth="1"/>
    <col min="11" max="11" width="11.5703125" customWidth="1"/>
    <col min="12" max="13" width="22.140625" bestFit="1" customWidth="1"/>
    <col min="14" max="14" width="11.28515625" bestFit="1" customWidth="1"/>
    <col min="15" max="15" width="10.5703125" bestFit="1" customWidth="1"/>
    <col min="16" max="16" width="11.28515625" bestFit="1" customWidth="1"/>
    <col min="17" max="17" width="10.5703125" bestFit="1" customWidth="1"/>
    <col min="18" max="18" width="11.28515625" bestFit="1" customWidth="1"/>
  </cols>
  <sheetData>
    <row r="1" spans="3:9" x14ac:dyDescent="0.2">
      <c r="F1" s="2"/>
    </row>
    <row r="2" spans="3:9" x14ac:dyDescent="0.2">
      <c r="F2" s="2"/>
    </row>
    <row r="3" spans="3:9" ht="15" x14ac:dyDescent="0.2">
      <c r="C3" s="9" t="s">
        <v>147</v>
      </c>
      <c r="D3" s="9" t="s">
        <v>148</v>
      </c>
      <c r="E3" s="10" t="s">
        <v>149</v>
      </c>
      <c r="F3" s="11" t="s">
        <v>150</v>
      </c>
      <c r="G3" s="11" t="s">
        <v>269</v>
      </c>
      <c r="H3" s="20" t="s">
        <v>268</v>
      </c>
      <c r="I3" s="20" t="s">
        <v>270</v>
      </c>
    </row>
    <row r="4" spans="3:9" ht="15" hidden="1" x14ac:dyDescent="0.2">
      <c r="C4" s="12">
        <v>1</v>
      </c>
      <c r="D4" s="13" t="s">
        <v>134</v>
      </c>
      <c r="E4" s="14">
        <v>44927</v>
      </c>
      <c r="F4" s="15">
        <f ca="1">'Track Calo và Weight'!C5</f>
        <v>2326</v>
      </c>
      <c r="G4" s="15">
        <f ca="1">'Track Calo và Weight'!D5</f>
        <v>74</v>
      </c>
      <c r="H4" s="21">
        <f ca="1">_xlfn.AGGREGATE(1,5,Calo[Calo Intake])</f>
        <v>2552.8214285714284</v>
      </c>
      <c r="I4" s="23">
        <f ca="1">_xlfn.AGGREGATE(1,5,Calo[Cân Nặng])</f>
        <v>70.607142857142861</v>
      </c>
    </row>
    <row r="5" spans="3:9" ht="15" hidden="1" x14ac:dyDescent="0.2">
      <c r="C5" s="3">
        <v>2</v>
      </c>
      <c r="D5" s="5" t="s">
        <v>134</v>
      </c>
      <c r="E5" s="7">
        <v>44928</v>
      </c>
      <c r="F5" s="4">
        <f ca="1">'Track Calo và Weight'!C6</f>
        <v>2173</v>
      </c>
      <c r="G5" s="4">
        <f ca="1">'Track Calo và Weight'!D6</f>
        <v>63</v>
      </c>
      <c r="H5" s="22">
        <f ca="1">_xlfn.AGGREGATE(1,5,Calo[Calo Intake])</f>
        <v>2552.8214285714284</v>
      </c>
      <c r="I5" s="24">
        <f ca="1">_xlfn.AGGREGATE(1,5,Calo[Cân Nặng])</f>
        <v>70.607142857142861</v>
      </c>
    </row>
    <row r="6" spans="3:9" ht="15" hidden="1" x14ac:dyDescent="0.2">
      <c r="C6" s="3">
        <v>3</v>
      </c>
      <c r="D6" s="5" t="s">
        <v>134</v>
      </c>
      <c r="E6" s="7">
        <v>44929</v>
      </c>
      <c r="F6" s="4">
        <f ca="1">'Track Calo và Weight'!C7</f>
        <v>2974</v>
      </c>
      <c r="G6" s="4">
        <f ca="1">'Track Calo và Weight'!D7</f>
        <v>72</v>
      </c>
      <c r="H6" s="22">
        <f ca="1">_xlfn.AGGREGATE(1,5,Calo[Calo Intake])</f>
        <v>2552.8214285714284</v>
      </c>
      <c r="I6" s="24">
        <f ca="1">_xlfn.AGGREGATE(1,5,Calo[Cân Nặng])</f>
        <v>70.607142857142861</v>
      </c>
    </row>
    <row r="7" spans="3:9" ht="15" hidden="1" x14ac:dyDescent="0.2">
      <c r="C7" s="3">
        <v>4</v>
      </c>
      <c r="D7" s="5" t="s">
        <v>134</v>
      </c>
      <c r="E7" s="7">
        <v>44930</v>
      </c>
      <c r="F7" s="4">
        <f ca="1">'Track Calo và Weight'!C8</f>
        <v>2505</v>
      </c>
      <c r="G7" s="4">
        <f ca="1">'Track Calo và Weight'!D8</f>
        <v>77</v>
      </c>
      <c r="H7" s="22">
        <f ca="1">_xlfn.AGGREGATE(1,5,Calo[Calo Intake])</f>
        <v>2552.8214285714284</v>
      </c>
      <c r="I7" s="24">
        <f ca="1">_xlfn.AGGREGATE(1,5,Calo[Cân Nặng])</f>
        <v>70.607142857142861</v>
      </c>
    </row>
    <row r="8" spans="3:9" ht="15" hidden="1" x14ac:dyDescent="0.2">
      <c r="C8" s="3">
        <v>5</v>
      </c>
      <c r="D8" s="5" t="s">
        <v>134</v>
      </c>
      <c r="E8" s="7">
        <v>44931</v>
      </c>
      <c r="F8" s="4">
        <f ca="1">'Track Calo và Weight'!C9</f>
        <v>2265</v>
      </c>
      <c r="G8" s="4">
        <f ca="1">'Track Calo và Weight'!D9</f>
        <v>71</v>
      </c>
      <c r="H8" s="22">
        <f ca="1">_xlfn.AGGREGATE(1,5,Calo[Calo Intake])</f>
        <v>2552.8214285714284</v>
      </c>
      <c r="I8" s="24">
        <f ca="1">_xlfn.AGGREGATE(1,5,Calo[Cân Nặng])</f>
        <v>70.607142857142861</v>
      </c>
    </row>
    <row r="9" spans="3:9" ht="15" hidden="1" x14ac:dyDescent="0.2">
      <c r="C9" s="3">
        <v>6</v>
      </c>
      <c r="D9" s="5" t="s">
        <v>134</v>
      </c>
      <c r="E9" s="7">
        <v>44932</v>
      </c>
      <c r="F9" s="4">
        <f ca="1">'Track Calo và Weight'!C10</f>
        <v>2675</v>
      </c>
      <c r="G9" s="4">
        <f ca="1">'Track Calo và Weight'!D10</f>
        <v>76</v>
      </c>
      <c r="H9" s="22">
        <f ca="1">_xlfn.AGGREGATE(1,5,Calo[Calo Intake])</f>
        <v>2552.8214285714284</v>
      </c>
      <c r="I9" s="24">
        <f ca="1">_xlfn.AGGREGATE(1,5,Calo[Cân Nặng])</f>
        <v>70.607142857142861</v>
      </c>
    </row>
    <row r="10" spans="3:9" ht="15" hidden="1" x14ac:dyDescent="0.2">
      <c r="C10" s="3">
        <v>7</v>
      </c>
      <c r="D10" s="5" t="s">
        <v>134</v>
      </c>
      <c r="E10" s="7">
        <v>44933</v>
      </c>
      <c r="F10" s="4">
        <f>'Track Calo và Weight'!C11</f>
        <v>2400</v>
      </c>
      <c r="G10" s="4">
        <f ca="1">'Track Calo và Weight'!D11</f>
        <v>77</v>
      </c>
      <c r="H10" s="22">
        <f ca="1">_xlfn.AGGREGATE(1,5,Calo[Calo Intake])</f>
        <v>2552.8214285714284</v>
      </c>
      <c r="I10" s="24">
        <f ca="1">_xlfn.AGGREGATE(1,5,Calo[Cân Nặng])</f>
        <v>70.607142857142861</v>
      </c>
    </row>
    <row r="11" spans="3:9" ht="15" hidden="1" x14ac:dyDescent="0.2">
      <c r="C11" s="3">
        <v>8</v>
      </c>
      <c r="D11" s="5" t="s">
        <v>134</v>
      </c>
      <c r="E11" s="7">
        <v>44934</v>
      </c>
      <c r="F11" s="4">
        <f ca="1">'Track Calo và Weight'!C12</f>
        <v>2698</v>
      </c>
      <c r="G11" s="4">
        <f ca="1">'Track Calo và Weight'!D12</f>
        <v>77</v>
      </c>
      <c r="H11" s="22">
        <f ca="1">_xlfn.AGGREGATE(1,5,Calo[Calo Intake])</f>
        <v>2552.8214285714284</v>
      </c>
      <c r="I11" s="24">
        <f ca="1">_xlfn.AGGREGATE(1,5,Calo[Cân Nặng])</f>
        <v>70.607142857142861</v>
      </c>
    </row>
    <row r="12" spans="3:9" ht="15" hidden="1" x14ac:dyDescent="0.2">
      <c r="C12" s="3">
        <v>9</v>
      </c>
      <c r="D12" s="5" t="s">
        <v>134</v>
      </c>
      <c r="E12" s="7">
        <v>44935</v>
      </c>
      <c r="F12" s="4">
        <f ca="1">'Track Calo và Weight'!C13</f>
        <v>2066</v>
      </c>
      <c r="G12" s="4">
        <f ca="1">'Track Calo và Weight'!D13</f>
        <v>60</v>
      </c>
      <c r="H12" s="22">
        <f ca="1">_xlfn.AGGREGATE(1,5,Calo[Calo Intake])</f>
        <v>2552.8214285714284</v>
      </c>
      <c r="I12" s="24">
        <f ca="1">_xlfn.AGGREGATE(1,5,Calo[Cân Nặng])</f>
        <v>70.607142857142861</v>
      </c>
    </row>
    <row r="13" spans="3:9" ht="15" hidden="1" x14ac:dyDescent="0.2">
      <c r="C13" s="3">
        <v>10</v>
      </c>
      <c r="D13" s="5" t="s">
        <v>134</v>
      </c>
      <c r="E13" s="7">
        <v>44936</v>
      </c>
      <c r="F13" s="4">
        <f ca="1">'Track Calo và Weight'!C14</f>
        <v>2153</v>
      </c>
      <c r="G13" s="4">
        <f ca="1">'Track Calo và Weight'!D14</f>
        <v>73</v>
      </c>
      <c r="H13" s="22">
        <f ca="1">_xlfn.AGGREGATE(1,5,Calo[Calo Intake])</f>
        <v>2552.8214285714284</v>
      </c>
      <c r="I13" s="24">
        <f ca="1">_xlfn.AGGREGATE(1,5,Calo[Cân Nặng])</f>
        <v>70.607142857142861</v>
      </c>
    </row>
    <row r="14" spans="3:9" ht="15" hidden="1" x14ac:dyDescent="0.2">
      <c r="C14" s="3">
        <v>11</v>
      </c>
      <c r="D14" s="5" t="s">
        <v>134</v>
      </c>
      <c r="E14" s="7">
        <v>44937</v>
      </c>
      <c r="F14" s="4">
        <f ca="1">'Track Calo và Weight'!C15</f>
        <v>2214</v>
      </c>
      <c r="G14" s="4">
        <f ca="1">'Track Calo và Weight'!D15</f>
        <v>73</v>
      </c>
      <c r="H14" s="22">
        <f ca="1">_xlfn.AGGREGATE(1,5,Calo[Calo Intake])</f>
        <v>2552.8214285714284</v>
      </c>
      <c r="I14" s="24">
        <f ca="1">_xlfn.AGGREGATE(1,5,Calo[Cân Nặng])</f>
        <v>70.607142857142861</v>
      </c>
    </row>
    <row r="15" spans="3:9" ht="15" hidden="1" x14ac:dyDescent="0.2">
      <c r="C15" s="3">
        <v>12</v>
      </c>
      <c r="D15" s="5" t="s">
        <v>134</v>
      </c>
      <c r="E15" s="7">
        <v>44938</v>
      </c>
      <c r="F15" s="4">
        <f ca="1">'Track Calo và Weight'!C16</f>
        <v>2700</v>
      </c>
      <c r="G15" s="4">
        <f ca="1">'Track Calo và Weight'!D16</f>
        <v>80</v>
      </c>
      <c r="H15" s="22">
        <f ca="1">_xlfn.AGGREGATE(1,5,Calo[Calo Intake])</f>
        <v>2552.8214285714284</v>
      </c>
      <c r="I15" s="24">
        <f ca="1">_xlfn.AGGREGATE(1,5,Calo[Cân Nặng])</f>
        <v>70.607142857142861</v>
      </c>
    </row>
    <row r="16" spans="3:9" ht="15" hidden="1" x14ac:dyDescent="0.2">
      <c r="C16" s="3">
        <v>13</v>
      </c>
      <c r="D16" s="5" t="s">
        <v>134</v>
      </c>
      <c r="E16" s="7">
        <v>44939</v>
      </c>
      <c r="F16" s="4">
        <f ca="1">'Track Calo và Weight'!C17</f>
        <v>2770</v>
      </c>
      <c r="G16" s="4">
        <f ca="1">'Track Calo và Weight'!D17</f>
        <v>67</v>
      </c>
      <c r="H16" s="22">
        <f ca="1">_xlfn.AGGREGATE(1,5,Calo[Calo Intake])</f>
        <v>2552.8214285714284</v>
      </c>
      <c r="I16" s="24">
        <f ca="1">_xlfn.AGGREGATE(1,5,Calo[Cân Nặng])</f>
        <v>70.607142857142861</v>
      </c>
    </row>
    <row r="17" spans="3:9" ht="15" hidden="1" x14ac:dyDescent="0.2">
      <c r="C17" s="3">
        <v>14</v>
      </c>
      <c r="D17" s="5" t="s">
        <v>134</v>
      </c>
      <c r="E17" s="7">
        <v>44940</v>
      </c>
      <c r="F17" s="4">
        <f ca="1">'Track Calo và Weight'!C18</f>
        <v>2832</v>
      </c>
      <c r="G17" s="4">
        <f ca="1">'Track Calo và Weight'!D18</f>
        <v>71</v>
      </c>
      <c r="H17" s="22">
        <f ca="1">_xlfn.AGGREGATE(1,5,Calo[Calo Intake])</f>
        <v>2552.8214285714284</v>
      </c>
      <c r="I17" s="24">
        <f ca="1">_xlfn.AGGREGATE(1,5,Calo[Cân Nặng])</f>
        <v>70.607142857142861</v>
      </c>
    </row>
    <row r="18" spans="3:9" ht="15" hidden="1" x14ac:dyDescent="0.2">
      <c r="C18" s="3">
        <v>15</v>
      </c>
      <c r="D18" s="5" t="s">
        <v>134</v>
      </c>
      <c r="E18" s="7">
        <v>44941</v>
      </c>
      <c r="F18" s="4">
        <f ca="1">'Track Calo và Weight'!C19</f>
        <v>2189</v>
      </c>
      <c r="G18" s="4">
        <f ca="1">'Track Calo và Weight'!D19</f>
        <v>71</v>
      </c>
      <c r="H18" s="22">
        <f ca="1">_xlfn.AGGREGATE(1,5,Calo[Calo Intake])</f>
        <v>2552.8214285714284</v>
      </c>
      <c r="I18" s="24">
        <f ca="1">_xlfn.AGGREGATE(1,5,Calo[Cân Nặng])</f>
        <v>70.607142857142861</v>
      </c>
    </row>
    <row r="19" spans="3:9" ht="15" hidden="1" x14ac:dyDescent="0.2">
      <c r="C19" s="3">
        <v>16</v>
      </c>
      <c r="D19" s="5" t="s">
        <v>134</v>
      </c>
      <c r="E19" s="7">
        <v>44942</v>
      </c>
      <c r="F19" s="4">
        <f ca="1">'Track Calo và Weight'!C20</f>
        <v>2052</v>
      </c>
      <c r="G19" s="4">
        <f ca="1">'Track Calo và Weight'!D20</f>
        <v>68</v>
      </c>
      <c r="H19" s="22">
        <f ca="1">_xlfn.AGGREGATE(1,5,Calo[Calo Intake])</f>
        <v>2552.8214285714284</v>
      </c>
      <c r="I19" s="24">
        <f ca="1">_xlfn.AGGREGATE(1,5,Calo[Cân Nặng])</f>
        <v>70.607142857142861</v>
      </c>
    </row>
    <row r="20" spans="3:9" ht="15" hidden="1" x14ac:dyDescent="0.2">
      <c r="C20" s="3">
        <v>17</v>
      </c>
      <c r="D20" s="5" t="s">
        <v>134</v>
      </c>
      <c r="E20" s="7">
        <v>44943</v>
      </c>
      <c r="F20" s="4">
        <f ca="1">'Track Calo và Weight'!C21</f>
        <v>2873</v>
      </c>
      <c r="G20" s="4">
        <f ca="1">'Track Calo và Weight'!D21</f>
        <v>65</v>
      </c>
      <c r="H20" s="22">
        <f ca="1">_xlfn.AGGREGATE(1,5,Calo[Calo Intake])</f>
        <v>2552.8214285714284</v>
      </c>
      <c r="I20" s="24">
        <f ca="1">_xlfn.AGGREGATE(1,5,Calo[Cân Nặng])</f>
        <v>70.607142857142861</v>
      </c>
    </row>
    <row r="21" spans="3:9" ht="15" hidden="1" x14ac:dyDescent="0.2">
      <c r="C21" s="3">
        <v>18</v>
      </c>
      <c r="D21" s="5" t="s">
        <v>134</v>
      </c>
      <c r="E21" s="7">
        <v>44944</v>
      </c>
      <c r="F21" s="4">
        <f ca="1">'Track Calo và Weight'!C22</f>
        <v>2506</v>
      </c>
      <c r="G21" s="4">
        <f ca="1">'Track Calo và Weight'!D22</f>
        <v>74</v>
      </c>
      <c r="H21" s="22">
        <f ca="1">_xlfn.AGGREGATE(1,5,Calo[Calo Intake])</f>
        <v>2552.8214285714284</v>
      </c>
      <c r="I21" s="24">
        <f ca="1">_xlfn.AGGREGATE(1,5,Calo[Cân Nặng])</f>
        <v>70.607142857142861</v>
      </c>
    </row>
    <row r="22" spans="3:9" ht="15" hidden="1" x14ac:dyDescent="0.2">
      <c r="C22" s="3">
        <v>19</v>
      </c>
      <c r="D22" s="5" t="s">
        <v>134</v>
      </c>
      <c r="E22" s="7">
        <v>44945</v>
      </c>
      <c r="F22" s="4">
        <f ca="1">'Track Calo và Weight'!C23</f>
        <v>2574</v>
      </c>
      <c r="G22" s="4">
        <f ca="1">'Track Calo và Weight'!D23</f>
        <v>73</v>
      </c>
      <c r="H22" s="22">
        <f ca="1">_xlfn.AGGREGATE(1,5,Calo[Calo Intake])</f>
        <v>2552.8214285714284</v>
      </c>
      <c r="I22" s="24">
        <f ca="1">_xlfn.AGGREGATE(1,5,Calo[Cân Nặng])</f>
        <v>70.607142857142861</v>
      </c>
    </row>
    <row r="23" spans="3:9" ht="15" hidden="1" x14ac:dyDescent="0.2">
      <c r="C23" s="3">
        <v>20</v>
      </c>
      <c r="D23" s="5" t="s">
        <v>134</v>
      </c>
      <c r="E23" s="7">
        <v>44946</v>
      </c>
      <c r="F23" s="4">
        <f ca="1">'Track Calo và Weight'!C24</f>
        <v>2551</v>
      </c>
      <c r="G23" s="4">
        <f ca="1">'Track Calo và Weight'!D24</f>
        <v>79</v>
      </c>
      <c r="H23" s="22">
        <f ca="1">_xlfn.AGGREGATE(1,5,Calo[Calo Intake])</f>
        <v>2552.8214285714284</v>
      </c>
      <c r="I23" s="24">
        <f ca="1">_xlfn.AGGREGATE(1,5,Calo[Cân Nặng])</f>
        <v>70.607142857142861</v>
      </c>
    </row>
    <row r="24" spans="3:9" ht="15" hidden="1" x14ac:dyDescent="0.2">
      <c r="C24" s="3">
        <v>21</v>
      </c>
      <c r="D24" s="5" t="s">
        <v>134</v>
      </c>
      <c r="E24" s="7">
        <v>44947</v>
      </c>
      <c r="F24" s="4">
        <f ca="1">'Track Calo và Weight'!C25</f>
        <v>2612</v>
      </c>
      <c r="G24" s="4">
        <f ca="1">'Track Calo và Weight'!D25</f>
        <v>75</v>
      </c>
      <c r="H24" s="22">
        <f ca="1">_xlfn.AGGREGATE(1,5,Calo[Calo Intake])</f>
        <v>2552.8214285714284</v>
      </c>
      <c r="I24" s="24">
        <f ca="1">_xlfn.AGGREGATE(1,5,Calo[Cân Nặng])</f>
        <v>70.607142857142861</v>
      </c>
    </row>
    <row r="25" spans="3:9" ht="15" hidden="1" x14ac:dyDescent="0.2">
      <c r="C25" s="3">
        <v>22</v>
      </c>
      <c r="D25" s="5" t="s">
        <v>134</v>
      </c>
      <c r="E25" s="7">
        <v>44948</v>
      </c>
      <c r="F25" s="4">
        <f ca="1">'Track Calo và Weight'!C26</f>
        <v>2275</v>
      </c>
      <c r="G25" s="4">
        <f ca="1">'Track Calo và Weight'!D26</f>
        <v>75</v>
      </c>
      <c r="H25" s="22">
        <f ca="1">_xlfn.AGGREGATE(1,5,Calo[Calo Intake])</f>
        <v>2552.8214285714284</v>
      </c>
      <c r="I25" s="24">
        <f ca="1">_xlfn.AGGREGATE(1,5,Calo[Cân Nặng])</f>
        <v>70.607142857142861</v>
      </c>
    </row>
    <row r="26" spans="3:9" ht="15" hidden="1" x14ac:dyDescent="0.2">
      <c r="C26" s="3">
        <v>23</v>
      </c>
      <c r="D26" s="5" t="s">
        <v>134</v>
      </c>
      <c r="E26" s="7">
        <v>44949</v>
      </c>
      <c r="F26" s="4">
        <f ca="1">'Track Calo và Weight'!C27</f>
        <v>2441</v>
      </c>
      <c r="G26" s="4">
        <f ca="1">'Track Calo và Weight'!D27</f>
        <v>60</v>
      </c>
      <c r="H26" s="22">
        <f ca="1">_xlfn.AGGREGATE(1,5,Calo[Calo Intake])</f>
        <v>2552.8214285714284</v>
      </c>
      <c r="I26" s="24">
        <f ca="1">_xlfn.AGGREGATE(1,5,Calo[Cân Nặng])</f>
        <v>70.607142857142861</v>
      </c>
    </row>
    <row r="27" spans="3:9" ht="15" hidden="1" x14ac:dyDescent="0.2">
      <c r="C27" s="3">
        <v>24</v>
      </c>
      <c r="D27" s="5" t="s">
        <v>134</v>
      </c>
      <c r="E27" s="7">
        <v>44950</v>
      </c>
      <c r="F27" s="4">
        <f ca="1">'Track Calo và Weight'!C28</f>
        <v>2110</v>
      </c>
      <c r="G27" s="4">
        <f ca="1">'Track Calo và Weight'!D28</f>
        <v>73</v>
      </c>
      <c r="H27" s="22">
        <f ca="1">_xlfn.AGGREGATE(1,5,Calo[Calo Intake])</f>
        <v>2552.8214285714284</v>
      </c>
      <c r="I27" s="24">
        <f ca="1">_xlfn.AGGREGATE(1,5,Calo[Cân Nặng])</f>
        <v>70.607142857142861</v>
      </c>
    </row>
    <row r="28" spans="3:9" ht="15" hidden="1" x14ac:dyDescent="0.2">
      <c r="C28" s="3">
        <v>25</v>
      </c>
      <c r="D28" s="5" t="s">
        <v>134</v>
      </c>
      <c r="E28" s="7">
        <v>44951</v>
      </c>
      <c r="F28" s="4">
        <f ca="1">'Track Calo và Weight'!C29</f>
        <v>2667</v>
      </c>
      <c r="G28" s="4">
        <f ca="1">'Track Calo và Weight'!D29</f>
        <v>72</v>
      </c>
      <c r="H28" s="22">
        <f ca="1">_xlfn.AGGREGATE(1,5,Calo[Calo Intake])</f>
        <v>2552.8214285714284</v>
      </c>
      <c r="I28" s="24">
        <f ca="1">_xlfn.AGGREGATE(1,5,Calo[Cân Nặng])</f>
        <v>70.607142857142861</v>
      </c>
    </row>
    <row r="29" spans="3:9" ht="15" hidden="1" x14ac:dyDescent="0.2">
      <c r="C29" s="3">
        <v>26</v>
      </c>
      <c r="D29" s="5" t="s">
        <v>134</v>
      </c>
      <c r="E29" s="7">
        <v>44952</v>
      </c>
      <c r="F29" s="4">
        <f ca="1">'Track Calo và Weight'!C30</f>
        <v>2243</v>
      </c>
      <c r="G29" s="4">
        <f ca="1">'Track Calo và Weight'!D30</f>
        <v>79</v>
      </c>
      <c r="H29" s="22">
        <f ca="1">_xlfn.AGGREGATE(1,5,Calo[Calo Intake])</f>
        <v>2552.8214285714284</v>
      </c>
      <c r="I29" s="24">
        <f ca="1">_xlfn.AGGREGATE(1,5,Calo[Cân Nặng])</f>
        <v>70.607142857142861</v>
      </c>
    </row>
    <row r="30" spans="3:9" ht="15" hidden="1" x14ac:dyDescent="0.2">
      <c r="C30" s="3">
        <v>27</v>
      </c>
      <c r="D30" s="5" t="s">
        <v>134</v>
      </c>
      <c r="E30" s="7">
        <v>44953</v>
      </c>
      <c r="F30" s="4">
        <f ca="1">'Track Calo và Weight'!C31</f>
        <v>2936</v>
      </c>
      <c r="G30" s="4">
        <f ca="1">'Track Calo và Weight'!D31</f>
        <v>64</v>
      </c>
      <c r="H30" s="22">
        <f ca="1">_xlfn.AGGREGATE(1,5,Calo[Calo Intake])</f>
        <v>2552.8214285714284</v>
      </c>
      <c r="I30" s="24">
        <f ca="1">_xlfn.AGGREGATE(1,5,Calo[Cân Nặng])</f>
        <v>70.607142857142861</v>
      </c>
    </row>
    <row r="31" spans="3:9" ht="15" hidden="1" x14ac:dyDescent="0.2">
      <c r="C31" s="3">
        <v>28</v>
      </c>
      <c r="D31" s="5" t="s">
        <v>134</v>
      </c>
      <c r="E31" s="7">
        <v>44954</v>
      </c>
      <c r="F31" s="4">
        <f ca="1">'Track Calo và Weight'!C32</f>
        <v>2917</v>
      </c>
      <c r="G31" s="4">
        <f ca="1">'Track Calo và Weight'!D32</f>
        <v>76</v>
      </c>
      <c r="H31" s="22">
        <f ca="1">_xlfn.AGGREGATE(1,5,Calo[Calo Intake])</f>
        <v>2552.8214285714284</v>
      </c>
      <c r="I31" s="24">
        <f ca="1">_xlfn.AGGREGATE(1,5,Calo[Cân Nặng])</f>
        <v>70.607142857142861</v>
      </c>
    </row>
    <row r="32" spans="3:9" ht="15" hidden="1" x14ac:dyDescent="0.2">
      <c r="C32" s="3">
        <v>29</v>
      </c>
      <c r="D32" s="5" t="s">
        <v>134</v>
      </c>
      <c r="E32" s="7">
        <v>44955</v>
      </c>
      <c r="F32" s="4">
        <f ca="1">'Track Calo và Weight'!C33</f>
        <v>2026</v>
      </c>
      <c r="G32" s="4">
        <f ca="1">'Track Calo và Weight'!D33</f>
        <v>61</v>
      </c>
      <c r="H32" s="22">
        <f ca="1">_xlfn.AGGREGATE(1,5,Calo[Calo Intake])</f>
        <v>2552.8214285714284</v>
      </c>
      <c r="I32" s="24">
        <f ca="1">_xlfn.AGGREGATE(1,5,Calo[Cân Nặng])</f>
        <v>70.607142857142861</v>
      </c>
    </row>
    <row r="33" spans="3:9" ht="15" hidden="1" x14ac:dyDescent="0.2">
      <c r="C33" s="3">
        <v>30</v>
      </c>
      <c r="D33" s="5" t="s">
        <v>134</v>
      </c>
      <c r="E33" s="7">
        <v>44956</v>
      </c>
      <c r="F33" s="4">
        <f ca="1">'Track Calo và Weight'!C34</f>
        <v>2153</v>
      </c>
      <c r="G33" s="4">
        <f ca="1">'Track Calo và Weight'!D34</f>
        <v>77</v>
      </c>
      <c r="H33" s="22">
        <f ca="1">_xlfn.AGGREGATE(1,5,Calo[Calo Intake])</f>
        <v>2552.8214285714284</v>
      </c>
      <c r="I33" s="24">
        <f ca="1">_xlfn.AGGREGATE(1,5,Calo[Cân Nặng])</f>
        <v>70.607142857142861</v>
      </c>
    </row>
    <row r="34" spans="3:9" ht="15.75" hidden="1" thickBot="1" x14ac:dyDescent="0.25">
      <c r="C34" s="16">
        <v>31</v>
      </c>
      <c r="D34" s="17" t="s">
        <v>134</v>
      </c>
      <c r="E34" s="18">
        <v>44957</v>
      </c>
      <c r="F34" s="19">
        <f ca="1">'Track Calo và Weight'!C35</f>
        <v>2976</v>
      </c>
      <c r="G34" s="19">
        <f ca="1">'Track Calo và Weight'!D35</f>
        <v>73</v>
      </c>
      <c r="H34" s="22">
        <f ca="1">_xlfn.AGGREGATE(1,5,Calo[Calo Intake])</f>
        <v>2552.8214285714284</v>
      </c>
      <c r="I34" s="24">
        <f ca="1">_xlfn.AGGREGATE(1,5,Calo[Cân Nặng])</f>
        <v>70.607142857142861</v>
      </c>
    </row>
    <row r="35" spans="3:9" ht="15" x14ac:dyDescent="0.2">
      <c r="C35" s="3">
        <v>1</v>
      </c>
      <c r="D35" s="5" t="s">
        <v>135</v>
      </c>
      <c r="E35" s="7">
        <v>44958</v>
      </c>
      <c r="F35" s="4">
        <f ca="1">'Track Calo và Weight'!E5</f>
        <v>2175</v>
      </c>
      <c r="G35" s="4">
        <f ca="1">'Track Calo và Weight'!F5</f>
        <v>72</v>
      </c>
      <c r="H35" s="22">
        <f ca="1">_xlfn.AGGREGATE(1,5,Calo[Calo Intake])</f>
        <v>2552.8214285714284</v>
      </c>
      <c r="I35" s="24">
        <f ca="1">_xlfn.AGGREGATE(1,5,Calo[Cân Nặng])</f>
        <v>70.607142857142861</v>
      </c>
    </row>
    <row r="36" spans="3:9" ht="15" x14ac:dyDescent="0.2">
      <c r="C36" s="3">
        <v>2</v>
      </c>
      <c r="D36" s="5" t="s">
        <v>135</v>
      </c>
      <c r="E36" s="7">
        <v>44959</v>
      </c>
      <c r="F36" s="4">
        <f ca="1">'Track Calo và Weight'!E6</f>
        <v>2749</v>
      </c>
      <c r="G36" s="4">
        <f ca="1">'Track Calo và Weight'!F6</f>
        <v>79</v>
      </c>
      <c r="H36" s="22">
        <f ca="1">_xlfn.AGGREGATE(1,5,Calo[Calo Intake])</f>
        <v>2552.8214285714284</v>
      </c>
      <c r="I36" s="24">
        <f ca="1">_xlfn.AGGREGATE(1,5,Calo[Cân Nặng])</f>
        <v>70.607142857142861</v>
      </c>
    </row>
    <row r="37" spans="3:9" ht="15" x14ac:dyDescent="0.2">
      <c r="C37" s="3">
        <v>3</v>
      </c>
      <c r="D37" s="5" t="s">
        <v>135</v>
      </c>
      <c r="E37" s="7">
        <v>44960</v>
      </c>
      <c r="F37" s="4">
        <f ca="1">'Track Calo và Weight'!E7</f>
        <v>2457</v>
      </c>
      <c r="G37" s="4">
        <f ca="1">'Track Calo và Weight'!F7</f>
        <v>62</v>
      </c>
      <c r="H37" s="22">
        <f ca="1">_xlfn.AGGREGATE(1,5,Calo[Calo Intake])</f>
        <v>2552.8214285714284</v>
      </c>
      <c r="I37" s="24">
        <f ca="1">_xlfn.AGGREGATE(1,5,Calo[Cân Nặng])</f>
        <v>70.607142857142861</v>
      </c>
    </row>
    <row r="38" spans="3:9" ht="15" x14ac:dyDescent="0.2">
      <c r="C38" s="3">
        <v>4</v>
      </c>
      <c r="D38" s="5" t="s">
        <v>135</v>
      </c>
      <c r="E38" s="7">
        <v>44961</v>
      </c>
      <c r="F38" s="4">
        <f ca="1">'Track Calo và Weight'!E8</f>
        <v>2271</v>
      </c>
      <c r="G38" s="4">
        <f ca="1">'Track Calo và Weight'!F8</f>
        <v>63</v>
      </c>
      <c r="H38" s="22">
        <f ca="1">_xlfn.AGGREGATE(1,5,Calo[Calo Intake])</f>
        <v>2552.8214285714284</v>
      </c>
      <c r="I38" s="24">
        <f ca="1">_xlfn.AGGREGATE(1,5,Calo[Cân Nặng])</f>
        <v>70.607142857142861</v>
      </c>
    </row>
    <row r="39" spans="3:9" ht="15" x14ac:dyDescent="0.2">
      <c r="C39" s="3">
        <v>5</v>
      </c>
      <c r="D39" s="5" t="s">
        <v>135</v>
      </c>
      <c r="E39" s="7">
        <v>44962</v>
      </c>
      <c r="F39" s="4">
        <f ca="1">'Track Calo và Weight'!E9</f>
        <v>2122</v>
      </c>
      <c r="G39" s="4">
        <f ca="1">'Track Calo và Weight'!F9</f>
        <v>63</v>
      </c>
      <c r="H39" s="22">
        <f ca="1">_xlfn.AGGREGATE(1,5,Calo[Calo Intake])</f>
        <v>2552.8214285714284</v>
      </c>
      <c r="I39" s="24">
        <f ca="1">_xlfn.AGGREGATE(1,5,Calo[Cân Nặng])</f>
        <v>70.607142857142861</v>
      </c>
    </row>
    <row r="40" spans="3:9" ht="15" x14ac:dyDescent="0.2">
      <c r="C40" s="3">
        <v>6</v>
      </c>
      <c r="D40" s="5" t="s">
        <v>135</v>
      </c>
      <c r="E40" s="7">
        <v>44963</v>
      </c>
      <c r="F40" s="4">
        <f ca="1">'Track Calo và Weight'!E10</f>
        <v>2524</v>
      </c>
      <c r="G40" s="4">
        <f ca="1">'Track Calo và Weight'!F10</f>
        <v>65</v>
      </c>
      <c r="H40" s="22">
        <f ca="1">_xlfn.AGGREGATE(1,5,Calo[Calo Intake])</f>
        <v>2552.8214285714284</v>
      </c>
      <c r="I40" s="24">
        <f ca="1">_xlfn.AGGREGATE(1,5,Calo[Cân Nặng])</f>
        <v>70.607142857142861</v>
      </c>
    </row>
    <row r="41" spans="3:9" ht="15" x14ac:dyDescent="0.2">
      <c r="C41" s="3">
        <v>7</v>
      </c>
      <c r="D41" s="5" t="s">
        <v>135</v>
      </c>
      <c r="E41" s="7">
        <v>44964</v>
      </c>
      <c r="F41" s="4">
        <f ca="1">'Track Calo và Weight'!E11</f>
        <v>2004</v>
      </c>
      <c r="G41" s="4">
        <f ca="1">'Track Calo và Weight'!F11</f>
        <v>80</v>
      </c>
      <c r="H41" s="22">
        <f ca="1">_xlfn.AGGREGATE(1,5,Calo[Calo Intake])</f>
        <v>2552.8214285714284</v>
      </c>
      <c r="I41" s="24">
        <f ca="1">_xlfn.AGGREGATE(1,5,Calo[Cân Nặng])</f>
        <v>70.607142857142861</v>
      </c>
    </row>
    <row r="42" spans="3:9" ht="15" x14ac:dyDescent="0.2">
      <c r="C42" s="3">
        <v>8</v>
      </c>
      <c r="D42" s="5" t="s">
        <v>135</v>
      </c>
      <c r="E42" s="7">
        <v>44965</v>
      </c>
      <c r="F42" s="4">
        <f ca="1">'Track Calo và Weight'!E12</f>
        <v>2459</v>
      </c>
      <c r="G42" s="4">
        <f ca="1">'Track Calo và Weight'!F12</f>
        <v>80</v>
      </c>
      <c r="H42" s="22">
        <f ca="1">_xlfn.AGGREGATE(1,5,Calo[Calo Intake])</f>
        <v>2552.8214285714284</v>
      </c>
      <c r="I42" s="24">
        <f ca="1">_xlfn.AGGREGATE(1,5,Calo[Cân Nặng])</f>
        <v>70.607142857142861</v>
      </c>
    </row>
    <row r="43" spans="3:9" ht="15" x14ac:dyDescent="0.2">
      <c r="C43" s="3">
        <v>9</v>
      </c>
      <c r="D43" s="5" t="s">
        <v>135</v>
      </c>
      <c r="E43" s="7">
        <v>44966</v>
      </c>
      <c r="F43" s="4">
        <f ca="1">'Track Calo và Weight'!E13</f>
        <v>2540</v>
      </c>
      <c r="G43" s="4">
        <f ca="1">'Track Calo và Weight'!F13</f>
        <v>65</v>
      </c>
      <c r="H43" s="22">
        <f ca="1">_xlfn.AGGREGATE(1,5,Calo[Calo Intake])</f>
        <v>2552.8214285714284</v>
      </c>
      <c r="I43" s="24">
        <f ca="1">_xlfn.AGGREGATE(1,5,Calo[Cân Nặng])</f>
        <v>70.607142857142861</v>
      </c>
    </row>
    <row r="44" spans="3:9" ht="15" x14ac:dyDescent="0.2">
      <c r="C44" s="3">
        <v>10</v>
      </c>
      <c r="D44" s="5" t="s">
        <v>135</v>
      </c>
      <c r="E44" s="7">
        <v>44967</v>
      </c>
      <c r="F44" s="4">
        <f ca="1">'Track Calo và Weight'!E14</f>
        <v>2841</v>
      </c>
      <c r="G44" s="4">
        <f ca="1">'Track Calo và Weight'!F14</f>
        <v>69</v>
      </c>
      <c r="H44" s="22">
        <f ca="1">_xlfn.AGGREGATE(1,5,Calo[Calo Intake])</f>
        <v>2552.8214285714284</v>
      </c>
      <c r="I44" s="24">
        <f ca="1">_xlfn.AGGREGATE(1,5,Calo[Cân Nặng])</f>
        <v>70.607142857142861</v>
      </c>
    </row>
    <row r="45" spans="3:9" ht="15" x14ac:dyDescent="0.2">
      <c r="C45" s="3">
        <v>11</v>
      </c>
      <c r="D45" s="5" t="s">
        <v>135</v>
      </c>
      <c r="E45" s="7">
        <v>44968</v>
      </c>
      <c r="F45" s="4">
        <f ca="1">'Track Calo và Weight'!E15</f>
        <v>2873</v>
      </c>
      <c r="G45" s="4">
        <f ca="1">'Track Calo và Weight'!F15</f>
        <v>66</v>
      </c>
      <c r="H45" s="22">
        <f ca="1">_xlfn.AGGREGATE(1,5,Calo[Calo Intake])</f>
        <v>2552.8214285714284</v>
      </c>
      <c r="I45" s="24">
        <f ca="1">_xlfn.AGGREGATE(1,5,Calo[Cân Nặng])</f>
        <v>70.607142857142861</v>
      </c>
    </row>
    <row r="46" spans="3:9" ht="15" x14ac:dyDescent="0.2">
      <c r="C46" s="3">
        <v>12</v>
      </c>
      <c r="D46" s="5" t="s">
        <v>135</v>
      </c>
      <c r="E46" s="7">
        <v>44969</v>
      </c>
      <c r="F46" s="4">
        <f ca="1">'Track Calo và Weight'!E16</f>
        <v>2574</v>
      </c>
      <c r="G46" s="4">
        <f ca="1">'Track Calo và Weight'!F16</f>
        <v>68</v>
      </c>
      <c r="H46" s="22">
        <f ca="1">_xlfn.AGGREGATE(1,5,Calo[Calo Intake])</f>
        <v>2552.8214285714284</v>
      </c>
      <c r="I46" s="24">
        <f ca="1">_xlfn.AGGREGATE(1,5,Calo[Cân Nặng])</f>
        <v>70.607142857142861</v>
      </c>
    </row>
    <row r="47" spans="3:9" ht="15" x14ac:dyDescent="0.2">
      <c r="C47" s="3">
        <v>13</v>
      </c>
      <c r="D47" s="5" t="s">
        <v>135</v>
      </c>
      <c r="E47" s="7">
        <v>44970</v>
      </c>
      <c r="F47" s="4">
        <f ca="1">'Track Calo và Weight'!E17</f>
        <v>2428</v>
      </c>
      <c r="G47" s="4">
        <f ca="1">'Track Calo và Weight'!F17</f>
        <v>74</v>
      </c>
      <c r="H47" s="22">
        <f ca="1">_xlfn.AGGREGATE(1,5,Calo[Calo Intake])</f>
        <v>2552.8214285714284</v>
      </c>
      <c r="I47" s="24">
        <f ca="1">_xlfn.AGGREGATE(1,5,Calo[Cân Nặng])</f>
        <v>70.607142857142861</v>
      </c>
    </row>
    <row r="48" spans="3:9" ht="15" x14ac:dyDescent="0.2">
      <c r="C48" s="3">
        <v>14</v>
      </c>
      <c r="D48" s="5" t="s">
        <v>135</v>
      </c>
      <c r="E48" s="7">
        <v>44971</v>
      </c>
      <c r="F48" s="4">
        <f ca="1">'Track Calo và Weight'!E18</f>
        <v>2763</v>
      </c>
      <c r="G48" s="4">
        <f ca="1">'Track Calo và Weight'!F18</f>
        <v>77</v>
      </c>
      <c r="H48" s="22">
        <f ca="1">_xlfn.AGGREGATE(1,5,Calo[Calo Intake])</f>
        <v>2552.8214285714284</v>
      </c>
      <c r="I48" s="24">
        <f ca="1">_xlfn.AGGREGATE(1,5,Calo[Cân Nặng])</f>
        <v>70.607142857142861</v>
      </c>
    </row>
    <row r="49" spans="3:9" ht="15" x14ac:dyDescent="0.2">
      <c r="C49" s="3">
        <v>15</v>
      </c>
      <c r="D49" s="5" t="s">
        <v>135</v>
      </c>
      <c r="E49" s="7">
        <v>44972</v>
      </c>
      <c r="F49" s="4">
        <f ca="1">'Track Calo và Weight'!E19</f>
        <v>2884</v>
      </c>
      <c r="G49" s="4">
        <f ca="1">'Track Calo và Weight'!F19</f>
        <v>62</v>
      </c>
      <c r="H49" s="22">
        <f ca="1">_xlfn.AGGREGATE(1,5,Calo[Calo Intake])</f>
        <v>2552.8214285714284</v>
      </c>
      <c r="I49" s="24">
        <f ca="1">_xlfn.AGGREGATE(1,5,Calo[Cân Nặng])</f>
        <v>70.607142857142861</v>
      </c>
    </row>
    <row r="50" spans="3:9" ht="15" x14ac:dyDescent="0.2">
      <c r="C50" s="3">
        <v>16</v>
      </c>
      <c r="D50" s="5" t="s">
        <v>135</v>
      </c>
      <c r="E50" s="7">
        <v>44973</v>
      </c>
      <c r="F50" s="4">
        <f ca="1">'Track Calo và Weight'!E20</f>
        <v>2837</v>
      </c>
      <c r="G50" s="4">
        <f ca="1">'Track Calo và Weight'!F20</f>
        <v>72</v>
      </c>
      <c r="H50" s="22">
        <f ca="1">_xlfn.AGGREGATE(1,5,Calo[Calo Intake])</f>
        <v>2552.8214285714284</v>
      </c>
      <c r="I50" s="24">
        <f ca="1">_xlfn.AGGREGATE(1,5,Calo[Cân Nặng])</f>
        <v>70.607142857142861</v>
      </c>
    </row>
    <row r="51" spans="3:9" ht="15" x14ac:dyDescent="0.2">
      <c r="C51" s="3">
        <v>17</v>
      </c>
      <c r="D51" s="5" t="s">
        <v>135</v>
      </c>
      <c r="E51" s="7">
        <v>44974</v>
      </c>
      <c r="F51" s="4">
        <f ca="1">'Track Calo và Weight'!E21</f>
        <v>2265</v>
      </c>
      <c r="G51" s="4">
        <f ca="1">'Track Calo và Weight'!F21</f>
        <v>62</v>
      </c>
      <c r="H51" s="22">
        <f ca="1">_xlfn.AGGREGATE(1,5,Calo[Calo Intake])</f>
        <v>2552.8214285714284</v>
      </c>
      <c r="I51" s="24">
        <f ca="1">_xlfn.AGGREGATE(1,5,Calo[Cân Nặng])</f>
        <v>70.607142857142861</v>
      </c>
    </row>
    <row r="52" spans="3:9" ht="15" x14ac:dyDescent="0.2">
      <c r="C52" s="3">
        <v>18</v>
      </c>
      <c r="D52" s="5" t="s">
        <v>135</v>
      </c>
      <c r="E52" s="7">
        <v>44975</v>
      </c>
      <c r="F52" s="4">
        <f ca="1">'Track Calo và Weight'!E22</f>
        <v>2120</v>
      </c>
      <c r="G52" s="4">
        <f ca="1">'Track Calo và Weight'!F22</f>
        <v>75</v>
      </c>
      <c r="H52" s="22">
        <f ca="1">_xlfn.AGGREGATE(1,5,Calo[Calo Intake])</f>
        <v>2552.8214285714284</v>
      </c>
      <c r="I52" s="24">
        <f ca="1">_xlfn.AGGREGATE(1,5,Calo[Cân Nặng])</f>
        <v>70.607142857142861</v>
      </c>
    </row>
    <row r="53" spans="3:9" ht="15" x14ac:dyDescent="0.2">
      <c r="C53" s="3">
        <v>19</v>
      </c>
      <c r="D53" s="5" t="s">
        <v>135</v>
      </c>
      <c r="E53" s="7">
        <v>44976</v>
      </c>
      <c r="F53" s="4">
        <f ca="1">'Track Calo và Weight'!E23</f>
        <v>2231</v>
      </c>
      <c r="G53" s="4">
        <f ca="1">'Track Calo và Weight'!F23</f>
        <v>76</v>
      </c>
      <c r="H53" s="22">
        <f ca="1">_xlfn.AGGREGATE(1,5,Calo[Calo Intake])</f>
        <v>2552.8214285714284</v>
      </c>
      <c r="I53" s="24">
        <f ca="1">_xlfn.AGGREGATE(1,5,Calo[Cân Nặng])</f>
        <v>70.607142857142861</v>
      </c>
    </row>
    <row r="54" spans="3:9" ht="15" x14ac:dyDescent="0.2">
      <c r="C54" s="3">
        <v>20</v>
      </c>
      <c r="D54" s="5" t="s">
        <v>135</v>
      </c>
      <c r="E54" s="7">
        <v>44977</v>
      </c>
      <c r="F54" s="4">
        <f ca="1">'Track Calo và Weight'!E24</f>
        <v>2603</v>
      </c>
      <c r="G54" s="4">
        <f ca="1">'Track Calo và Weight'!F24</f>
        <v>79</v>
      </c>
      <c r="H54" s="22">
        <f ca="1">_xlfn.AGGREGATE(1,5,Calo[Calo Intake])</f>
        <v>2552.8214285714284</v>
      </c>
      <c r="I54" s="24">
        <f ca="1">_xlfn.AGGREGATE(1,5,Calo[Cân Nặng])</f>
        <v>70.607142857142861</v>
      </c>
    </row>
    <row r="55" spans="3:9" ht="15" x14ac:dyDescent="0.2">
      <c r="C55" s="3">
        <v>21</v>
      </c>
      <c r="D55" s="5" t="s">
        <v>135</v>
      </c>
      <c r="E55" s="7">
        <v>44978</v>
      </c>
      <c r="F55" s="4">
        <f ca="1">'Track Calo và Weight'!E25</f>
        <v>2817</v>
      </c>
      <c r="G55" s="4">
        <f ca="1">'Track Calo và Weight'!F25</f>
        <v>72</v>
      </c>
      <c r="H55" s="22">
        <f ca="1">_xlfn.AGGREGATE(1,5,Calo[Calo Intake])</f>
        <v>2552.8214285714284</v>
      </c>
      <c r="I55" s="24">
        <f ca="1">_xlfn.AGGREGATE(1,5,Calo[Cân Nặng])</f>
        <v>70.607142857142861</v>
      </c>
    </row>
    <row r="56" spans="3:9" ht="15" x14ac:dyDescent="0.2">
      <c r="C56" s="3">
        <v>22</v>
      </c>
      <c r="D56" s="5" t="s">
        <v>135</v>
      </c>
      <c r="E56" s="7">
        <v>44979</v>
      </c>
      <c r="F56" s="4">
        <f ca="1">'Track Calo và Weight'!E26</f>
        <v>2615</v>
      </c>
      <c r="G56" s="4">
        <f ca="1">'Track Calo và Weight'!F26</f>
        <v>68</v>
      </c>
      <c r="H56" s="22">
        <f ca="1">_xlfn.AGGREGATE(1,5,Calo[Calo Intake])</f>
        <v>2552.8214285714284</v>
      </c>
      <c r="I56" s="24">
        <f ca="1">_xlfn.AGGREGATE(1,5,Calo[Cân Nặng])</f>
        <v>70.607142857142861</v>
      </c>
    </row>
    <row r="57" spans="3:9" ht="15" x14ac:dyDescent="0.2">
      <c r="C57" s="3">
        <v>23</v>
      </c>
      <c r="D57" s="5" t="s">
        <v>135</v>
      </c>
      <c r="E57" s="7">
        <v>44980</v>
      </c>
      <c r="F57" s="4">
        <f ca="1">'Track Calo và Weight'!E27</f>
        <v>2782</v>
      </c>
      <c r="G57" s="4">
        <f ca="1">'Track Calo và Weight'!F27</f>
        <v>70</v>
      </c>
      <c r="H57" s="22">
        <f ca="1">_xlfn.AGGREGATE(1,5,Calo[Calo Intake])</f>
        <v>2552.8214285714284</v>
      </c>
      <c r="I57" s="24">
        <f ca="1">_xlfn.AGGREGATE(1,5,Calo[Cân Nặng])</f>
        <v>70.607142857142861</v>
      </c>
    </row>
    <row r="58" spans="3:9" ht="15" x14ac:dyDescent="0.2">
      <c r="C58" s="3">
        <v>24</v>
      </c>
      <c r="D58" s="5" t="s">
        <v>135</v>
      </c>
      <c r="E58" s="7">
        <v>44981</v>
      </c>
      <c r="F58" s="4">
        <f ca="1">'Track Calo và Weight'!E28</f>
        <v>2868</v>
      </c>
      <c r="G58" s="4">
        <f ca="1">'Track Calo và Weight'!F28</f>
        <v>80</v>
      </c>
      <c r="H58" s="22">
        <f ca="1">_xlfn.AGGREGATE(1,5,Calo[Calo Intake])</f>
        <v>2552.8214285714284</v>
      </c>
      <c r="I58" s="24">
        <f ca="1">_xlfn.AGGREGATE(1,5,Calo[Cân Nặng])</f>
        <v>70.607142857142861</v>
      </c>
    </row>
    <row r="59" spans="3:9" ht="15" x14ac:dyDescent="0.2">
      <c r="C59" s="3">
        <v>25</v>
      </c>
      <c r="D59" s="5" t="s">
        <v>135</v>
      </c>
      <c r="E59" s="7">
        <v>44982</v>
      </c>
      <c r="F59" s="4">
        <f ca="1">'Track Calo và Weight'!E29</f>
        <v>2143</v>
      </c>
      <c r="G59" s="4">
        <f ca="1">'Track Calo và Weight'!F29</f>
        <v>63</v>
      </c>
      <c r="H59" s="22">
        <f ca="1">_xlfn.AGGREGATE(1,5,Calo[Calo Intake])</f>
        <v>2552.8214285714284</v>
      </c>
      <c r="I59" s="24">
        <f ca="1">_xlfn.AGGREGATE(1,5,Calo[Cân Nặng])</f>
        <v>70.607142857142861</v>
      </c>
    </row>
    <row r="60" spans="3:9" ht="15" x14ac:dyDescent="0.2">
      <c r="C60" s="3">
        <v>26</v>
      </c>
      <c r="D60" s="5" t="s">
        <v>135</v>
      </c>
      <c r="E60" s="7">
        <v>44983</v>
      </c>
      <c r="F60" s="4">
        <f ca="1">'Track Calo và Weight'!E30</f>
        <v>2619</v>
      </c>
      <c r="G60" s="4">
        <f ca="1">'Track Calo và Weight'!F30</f>
        <v>75</v>
      </c>
      <c r="H60" s="22">
        <f ca="1">_xlfn.AGGREGATE(1,5,Calo[Calo Intake])</f>
        <v>2552.8214285714284</v>
      </c>
      <c r="I60" s="24">
        <f ca="1">_xlfn.AGGREGATE(1,5,Calo[Cân Nặng])</f>
        <v>70.607142857142861</v>
      </c>
    </row>
    <row r="61" spans="3:9" ht="15" x14ac:dyDescent="0.2">
      <c r="C61" s="3">
        <v>27</v>
      </c>
      <c r="D61" s="5" t="s">
        <v>135</v>
      </c>
      <c r="E61" s="7">
        <v>44984</v>
      </c>
      <c r="F61" s="4">
        <f ca="1">'Track Calo và Weight'!E31</f>
        <v>2943</v>
      </c>
      <c r="G61" s="4">
        <f ca="1">'Track Calo và Weight'!F31</f>
        <v>63</v>
      </c>
      <c r="H61" s="22">
        <f ca="1">_xlfn.AGGREGATE(1,5,Calo[Calo Intake])</f>
        <v>2552.8214285714284</v>
      </c>
      <c r="I61" s="24">
        <f ca="1">_xlfn.AGGREGATE(1,5,Calo[Cân Nặng])</f>
        <v>70.607142857142861</v>
      </c>
    </row>
    <row r="62" spans="3:9" ht="15" x14ac:dyDescent="0.2">
      <c r="C62" s="3">
        <v>28</v>
      </c>
      <c r="D62" s="5" t="s">
        <v>135</v>
      </c>
      <c r="E62" s="7">
        <v>44985</v>
      </c>
      <c r="F62" s="4">
        <f ca="1">'Track Calo và Weight'!E32</f>
        <v>2972</v>
      </c>
      <c r="G62" s="4">
        <f ca="1">'Track Calo và Weight'!F32</f>
        <v>77</v>
      </c>
      <c r="H62" s="22">
        <f ca="1">_xlfn.AGGREGATE(1,5,Calo[Calo Intake])</f>
        <v>2552.8214285714284</v>
      </c>
      <c r="I62" s="24">
        <f ca="1">_xlfn.AGGREGATE(1,5,Calo[Cân Nặng])</f>
        <v>70.607142857142861</v>
      </c>
    </row>
    <row r="63" spans="3:9" ht="15" hidden="1" x14ac:dyDescent="0.2">
      <c r="C63" s="12">
        <v>1</v>
      </c>
      <c r="D63" s="13" t="s">
        <v>136</v>
      </c>
      <c r="E63" s="14">
        <v>44986</v>
      </c>
      <c r="F63" s="15">
        <f ca="1">'Track Calo và Weight'!G5</f>
        <v>2025</v>
      </c>
      <c r="G63" s="15">
        <f ca="1">'Track Calo và Weight'!H5</f>
        <v>73</v>
      </c>
      <c r="H63" s="22">
        <f ca="1">_xlfn.AGGREGATE(1,5,Calo[Calo Intake])</f>
        <v>2552.8214285714284</v>
      </c>
      <c r="I63" s="24">
        <f ca="1">_xlfn.AGGREGATE(1,5,Calo[Cân Nặng])</f>
        <v>70.607142857142861</v>
      </c>
    </row>
    <row r="64" spans="3:9" ht="15" hidden="1" x14ac:dyDescent="0.2">
      <c r="C64" s="3">
        <v>2</v>
      </c>
      <c r="D64" s="5" t="s">
        <v>136</v>
      </c>
      <c r="E64" s="7">
        <v>44987</v>
      </c>
      <c r="F64" s="4">
        <f ca="1">'Track Calo và Weight'!G6</f>
        <v>2439</v>
      </c>
      <c r="G64" s="4">
        <f ca="1">'Track Calo và Weight'!H6</f>
        <v>67</v>
      </c>
      <c r="H64" s="22">
        <f ca="1">_xlfn.AGGREGATE(1,5,Calo[Calo Intake])</f>
        <v>2552.8214285714284</v>
      </c>
      <c r="I64" s="24">
        <f ca="1">_xlfn.AGGREGATE(1,5,Calo[Cân Nặng])</f>
        <v>70.607142857142861</v>
      </c>
    </row>
    <row r="65" spans="3:9" ht="15" hidden="1" x14ac:dyDescent="0.2">
      <c r="C65" s="3">
        <v>3</v>
      </c>
      <c r="D65" s="5" t="s">
        <v>136</v>
      </c>
      <c r="E65" s="7">
        <v>44988</v>
      </c>
      <c r="F65" s="4">
        <f ca="1">'Track Calo và Weight'!G7</f>
        <v>2365</v>
      </c>
      <c r="G65" s="4">
        <f ca="1">'Track Calo và Weight'!H7</f>
        <v>68</v>
      </c>
      <c r="H65" s="22">
        <f ca="1">_xlfn.AGGREGATE(1,5,Calo[Calo Intake])</f>
        <v>2552.8214285714284</v>
      </c>
      <c r="I65" s="24">
        <f ca="1">_xlfn.AGGREGATE(1,5,Calo[Cân Nặng])</f>
        <v>70.607142857142861</v>
      </c>
    </row>
    <row r="66" spans="3:9" ht="15" hidden="1" x14ac:dyDescent="0.2">
      <c r="C66" s="3">
        <v>4</v>
      </c>
      <c r="D66" s="5" t="s">
        <v>136</v>
      </c>
      <c r="E66" s="7">
        <v>44989</v>
      </c>
      <c r="F66" s="4">
        <f ca="1">'Track Calo và Weight'!G8</f>
        <v>2637</v>
      </c>
      <c r="G66" s="4">
        <f ca="1">'Track Calo và Weight'!H8</f>
        <v>63</v>
      </c>
      <c r="H66" s="22">
        <f ca="1">_xlfn.AGGREGATE(1,5,Calo[Calo Intake])</f>
        <v>2552.8214285714284</v>
      </c>
      <c r="I66" s="24">
        <f ca="1">_xlfn.AGGREGATE(1,5,Calo[Cân Nặng])</f>
        <v>70.607142857142861</v>
      </c>
    </row>
    <row r="67" spans="3:9" ht="15" hidden="1" x14ac:dyDescent="0.2">
      <c r="C67" s="3">
        <v>5</v>
      </c>
      <c r="D67" s="5" t="s">
        <v>136</v>
      </c>
      <c r="E67" s="7">
        <v>44990</v>
      </c>
      <c r="F67" s="4">
        <f ca="1">'Track Calo và Weight'!G9</f>
        <v>2671</v>
      </c>
      <c r="G67" s="4">
        <f ca="1">'Track Calo và Weight'!H9</f>
        <v>76</v>
      </c>
      <c r="H67" s="22">
        <f ca="1">_xlfn.AGGREGATE(1,5,Calo[Calo Intake])</f>
        <v>2552.8214285714284</v>
      </c>
      <c r="I67" s="24">
        <f ca="1">_xlfn.AGGREGATE(1,5,Calo[Cân Nặng])</f>
        <v>70.607142857142861</v>
      </c>
    </row>
    <row r="68" spans="3:9" ht="15" hidden="1" x14ac:dyDescent="0.2">
      <c r="C68" s="3">
        <v>6</v>
      </c>
      <c r="D68" s="5" t="s">
        <v>136</v>
      </c>
      <c r="E68" s="7">
        <v>44991</v>
      </c>
      <c r="F68" s="4">
        <f ca="1">'Track Calo và Weight'!G10</f>
        <v>2669</v>
      </c>
      <c r="G68" s="4">
        <f ca="1">'Track Calo và Weight'!H10</f>
        <v>62</v>
      </c>
      <c r="H68" s="22">
        <f ca="1">_xlfn.AGGREGATE(1,5,Calo[Calo Intake])</f>
        <v>2552.8214285714284</v>
      </c>
      <c r="I68" s="24">
        <f ca="1">_xlfn.AGGREGATE(1,5,Calo[Cân Nặng])</f>
        <v>70.607142857142861</v>
      </c>
    </row>
    <row r="69" spans="3:9" ht="15" hidden="1" x14ac:dyDescent="0.2">
      <c r="C69" s="3">
        <v>7</v>
      </c>
      <c r="D69" s="5" t="s">
        <v>136</v>
      </c>
      <c r="E69" s="7">
        <v>44992</v>
      </c>
      <c r="F69" s="4">
        <f ca="1">'Track Calo và Weight'!G11</f>
        <v>2683</v>
      </c>
      <c r="G69" s="4">
        <f ca="1">'Track Calo và Weight'!H11</f>
        <v>77</v>
      </c>
      <c r="H69" s="22">
        <f ca="1">_xlfn.AGGREGATE(1,5,Calo[Calo Intake])</f>
        <v>2552.8214285714284</v>
      </c>
      <c r="I69" s="24">
        <f ca="1">_xlfn.AGGREGATE(1,5,Calo[Cân Nặng])</f>
        <v>70.607142857142861</v>
      </c>
    </row>
    <row r="70" spans="3:9" ht="15" hidden="1" x14ac:dyDescent="0.2">
      <c r="C70" s="3">
        <v>8</v>
      </c>
      <c r="D70" s="5" t="s">
        <v>136</v>
      </c>
      <c r="E70" s="7">
        <v>44993</v>
      </c>
      <c r="F70" s="4">
        <f ca="1">'Track Calo và Weight'!G12</f>
        <v>2354</v>
      </c>
      <c r="G70" s="4">
        <f ca="1">'Track Calo và Weight'!H12</f>
        <v>70</v>
      </c>
      <c r="H70" s="22">
        <f ca="1">_xlfn.AGGREGATE(1,5,Calo[Calo Intake])</f>
        <v>2552.8214285714284</v>
      </c>
      <c r="I70" s="24">
        <f ca="1">_xlfn.AGGREGATE(1,5,Calo[Cân Nặng])</f>
        <v>70.607142857142861</v>
      </c>
    </row>
    <row r="71" spans="3:9" ht="15" hidden="1" x14ac:dyDescent="0.2">
      <c r="C71" s="3">
        <v>9</v>
      </c>
      <c r="D71" s="5" t="s">
        <v>136</v>
      </c>
      <c r="E71" s="7">
        <v>44994</v>
      </c>
      <c r="F71" s="4">
        <f ca="1">'Track Calo và Weight'!G13</f>
        <v>2789</v>
      </c>
      <c r="G71" s="4">
        <f ca="1">'Track Calo và Weight'!H13</f>
        <v>60</v>
      </c>
      <c r="H71" s="22">
        <f ca="1">_xlfn.AGGREGATE(1,5,Calo[Calo Intake])</f>
        <v>2552.8214285714284</v>
      </c>
      <c r="I71" s="24">
        <f ca="1">_xlfn.AGGREGATE(1,5,Calo[Cân Nặng])</f>
        <v>70.607142857142861</v>
      </c>
    </row>
    <row r="72" spans="3:9" ht="15" hidden="1" x14ac:dyDescent="0.2">
      <c r="C72" s="3">
        <v>10</v>
      </c>
      <c r="D72" s="5" t="s">
        <v>136</v>
      </c>
      <c r="E72" s="7">
        <v>44995</v>
      </c>
      <c r="F72" s="4">
        <f ca="1">'Track Calo và Weight'!G14</f>
        <v>2165</v>
      </c>
      <c r="G72" s="4">
        <f ca="1">'Track Calo và Weight'!H14</f>
        <v>74</v>
      </c>
      <c r="H72" s="22">
        <f ca="1">_xlfn.AGGREGATE(1,5,Calo[Calo Intake])</f>
        <v>2552.8214285714284</v>
      </c>
      <c r="I72" s="24">
        <f ca="1">_xlfn.AGGREGATE(1,5,Calo[Cân Nặng])</f>
        <v>70.607142857142861</v>
      </c>
    </row>
    <row r="73" spans="3:9" ht="15" hidden="1" x14ac:dyDescent="0.2">
      <c r="C73" s="3">
        <v>11</v>
      </c>
      <c r="D73" s="5" t="s">
        <v>136</v>
      </c>
      <c r="E73" s="7">
        <v>44996</v>
      </c>
      <c r="F73" s="4">
        <f ca="1">'Track Calo và Weight'!G15</f>
        <v>2222</v>
      </c>
      <c r="G73" s="4">
        <f ca="1">'Track Calo và Weight'!H15</f>
        <v>78</v>
      </c>
      <c r="H73" s="22">
        <f ca="1">_xlfn.AGGREGATE(1,5,Calo[Calo Intake])</f>
        <v>2552.8214285714284</v>
      </c>
      <c r="I73" s="24">
        <f ca="1">_xlfn.AGGREGATE(1,5,Calo[Cân Nặng])</f>
        <v>70.607142857142861</v>
      </c>
    </row>
    <row r="74" spans="3:9" ht="15" hidden="1" x14ac:dyDescent="0.2">
      <c r="C74" s="3">
        <v>12</v>
      </c>
      <c r="D74" s="5" t="s">
        <v>136</v>
      </c>
      <c r="E74" s="7">
        <v>44997</v>
      </c>
      <c r="F74" s="4">
        <f ca="1">'Track Calo và Weight'!G16</f>
        <v>2617</v>
      </c>
      <c r="G74" s="4">
        <f ca="1">'Track Calo và Weight'!H16</f>
        <v>65</v>
      </c>
      <c r="H74" s="22">
        <f ca="1">_xlfn.AGGREGATE(1,5,Calo[Calo Intake])</f>
        <v>2552.8214285714284</v>
      </c>
      <c r="I74" s="24">
        <f ca="1">_xlfn.AGGREGATE(1,5,Calo[Cân Nặng])</f>
        <v>70.607142857142861</v>
      </c>
    </row>
    <row r="75" spans="3:9" ht="15" hidden="1" x14ac:dyDescent="0.2">
      <c r="C75" s="3">
        <v>13</v>
      </c>
      <c r="D75" s="5" t="s">
        <v>136</v>
      </c>
      <c r="E75" s="7">
        <v>44998</v>
      </c>
      <c r="F75" s="4">
        <f ca="1">'Track Calo và Weight'!G17</f>
        <v>2244</v>
      </c>
      <c r="G75" s="4">
        <f ca="1">'Track Calo và Weight'!H17</f>
        <v>71</v>
      </c>
      <c r="H75" s="22">
        <f ca="1">_xlfn.AGGREGATE(1,5,Calo[Calo Intake])</f>
        <v>2552.8214285714284</v>
      </c>
      <c r="I75" s="24">
        <f ca="1">_xlfn.AGGREGATE(1,5,Calo[Cân Nặng])</f>
        <v>70.607142857142861</v>
      </c>
    </row>
    <row r="76" spans="3:9" ht="15" hidden="1" x14ac:dyDescent="0.2">
      <c r="C76" s="3">
        <v>14</v>
      </c>
      <c r="D76" s="5" t="s">
        <v>136</v>
      </c>
      <c r="E76" s="7">
        <v>44999</v>
      </c>
      <c r="F76" s="4">
        <f ca="1">'Track Calo và Weight'!G18</f>
        <v>2008</v>
      </c>
      <c r="G76" s="4">
        <f ca="1">'Track Calo và Weight'!H18</f>
        <v>69</v>
      </c>
      <c r="H76" s="22">
        <f ca="1">_xlfn.AGGREGATE(1,5,Calo[Calo Intake])</f>
        <v>2552.8214285714284</v>
      </c>
      <c r="I76" s="24">
        <f ca="1">_xlfn.AGGREGATE(1,5,Calo[Cân Nặng])</f>
        <v>70.607142857142861</v>
      </c>
    </row>
    <row r="77" spans="3:9" ht="15" hidden="1" x14ac:dyDescent="0.2">
      <c r="C77" s="3">
        <v>15</v>
      </c>
      <c r="D77" s="5" t="s">
        <v>136</v>
      </c>
      <c r="E77" s="7">
        <v>45000</v>
      </c>
      <c r="F77" s="4">
        <f ca="1">'Track Calo và Weight'!G19</f>
        <v>2411</v>
      </c>
      <c r="G77" s="4">
        <f ca="1">'Track Calo và Weight'!H19</f>
        <v>64</v>
      </c>
      <c r="H77" s="22">
        <f ca="1">_xlfn.AGGREGATE(1,5,Calo[Calo Intake])</f>
        <v>2552.8214285714284</v>
      </c>
      <c r="I77" s="24">
        <f ca="1">_xlfn.AGGREGATE(1,5,Calo[Cân Nặng])</f>
        <v>70.607142857142861</v>
      </c>
    </row>
    <row r="78" spans="3:9" ht="15" hidden="1" x14ac:dyDescent="0.2">
      <c r="C78" s="3">
        <v>16</v>
      </c>
      <c r="D78" s="5" t="s">
        <v>136</v>
      </c>
      <c r="E78" s="7">
        <v>45001</v>
      </c>
      <c r="F78" s="4">
        <f ca="1">'Track Calo và Weight'!G20</f>
        <v>2671</v>
      </c>
      <c r="G78" s="4">
        <f ca="1">'Track Calo và Weight'!H20</f>
        <v>66</v>
      </c>
      <c r="H78" s="22">
        <f ca="1">_xlfn.AGGREGATE(1,5,Calo[Calo Intake])</f>
        <v>2552.8214285714284</v>
      </c>
      <c r="I78" s="24">
        <f ca="1">_xlfn.AGGREGATE(1,5,Calo[Cân Nặng])</f>
        <v>70.607142857142861</v>
      </c>
    </row>
    <row r="79" spans="3:9" ht="15" hidden="1" x14ac:dyDescent="0.2">
      <c r="C79" s="3">
        <v>17</v>
      </c>
      <c r="D79" s="5" t="s">
        <v>136</v>
      </c>
      <c r="E79" s="7">
        <v>45002</v>
      </c>
      <c r="F79" s="4">
        <f ca="1">'Track Calo và Weight'!G21</f>
        <v>2066</v>
      </c>
      <c r="G79" s="4">
        <f ca="1">'Track Calo và Weight'!H21</f>
        <v>80</v>
      </c>
      <c r="H79" s="22">
        <f ca="1">_xlfn.AGGREGATE(1,5,Calo[Calo Intake])</f>
        <v>2552.8214285714284</v>
      </c>
      <c r="I79" s="24">
        <f ca="1">_xlfn.AGGREGATE(1,5,Calo[Cân Nặng])</f>
        <v>70.607142857142861</v>
      </c>
    </row>
    <row r="80" spans="3:9" ht="15" hidden="1" x14ac:dyDescent="0.2">
      <c r="C80" s="3">
        <v>18</v>
      </c>
      <c r="D80" s="5" t="s">
        <v>136</v>
      </c>
      <c r="E80" s="7">
        <v>45003</v>
      </c>
      <c r="F80" s="4">
        <f ca="1">'Track Calo và Weight'!G22</f>
        <v>2307</v>
      </c>
      <c r="G80" s="4">
        <f ca="1">'Track Calo và Weight'!H22</f>
        <v>62</v>
      </c>
      <c r="H80" s="22">
        <f ca="1">_xlfn.AGGREGATE(1,5,Calo[Calo Intake])</f>
        <v>2552.8214285714284</v>
      </c>
      <c r="I80" s="24">
        <f ca="1">_xlfn.AGGREGATE(1,5,Calo[Cân Nặng])</f>
        <v>70.607142857142861</v>
      </c>
    </row>
    <row r="81" spans="3:9" ht="15" hidden="1" x14ac:dyDescent="0.2">
      <c r="C81" s="3">
        <v>19</v>
      </c>
      <c r="D81" s="5" t="s">
        <v>136</v>
      </c>
      <c r="E81" s="7">
        <v>45004</v>
      </c>
      <c r="F81" s="4">
        <f ca="1">'Track Calo và Weight'!G23</f>
        <v>2203</v>
      </c>
      <c r="G81" s="4">
        <f ca="1">'Track Calo và Weight'!H23</f>
        <v>75</v>
      </c>
      <c r="H81" s="22">
        <f ca="1">_xlfn.AGGREGATE(1,5,Calo[Calo Intake])</f>
        <v>2552.8214285714284</v>
      </c>
      <c r="I81" s="24">
        <f ca="1">_xlfn.AGGREGATE(1,5,Calo[Cân Nặng])</f>
        <v>70.607142857142861</v>
      </c>
    </row>
    <row r="82" spans="3:9" ht="15" hidden="1" x14ac:dyDescent="0.2">
      <c r="C82" s="3">
        <v>20</v>
      </c>
      <c r="D82" s="5" t="s">
        <v>136</v>
      </c>
      <c r="E82" s="7">
        <v>45005</v>
      </c>
      <c r="F82" s="4">
        <f ca="1">'Track Calo và Weight'!G24</f>
        <v>2790</v>
      </c>
      <c r="G82" s="4">
        <f ca="1">'Track Calo và Weight'!H24</f>
        <v>75</v>
      </c>
      <c r="H82" s="22">
        <f ca="1">_xlfn.AGGREGATE(1,5,Calo[Calo Intake])</f>
        <v>2552.8214285714284</v>
      </c>
      <c r="I82" s="24">
        <f ca="1">_xlfn.AGGREGATE(1,5,Calo[Cân Nặng])</f>
        <v>70.607142857142861</v>
      </c>
    </row>
    <row r="83" spans="3:9" ht="15" hidden="1" x14ac:dyDescent="0.2">
      <c r="C83" s="3">
        <v>21</v>
      </c>
      <c r="D83" s="5" t="s">
        <v>136</v>
      </c>
      <c r="E83" s="7">
        <v>45006</v>
      </c>
      <c r="F83" s="4">
        <f ca="1">'Track Calo và Weight'!G25</f>
        <v>2056</v>
      </c>
      <c r="G83" s="4">
        <f ca="1">'Track Calo và Weight'!H25</f>
        <v>66</v>
      </c>
      <c r="H83" s="22">
        <f ca="1">_xlfn.AGGREGATE(1,5,Calo[Calo Intake])</f>
        <v>2552.8214285714284</v>
      </c>
      <c r="I83" s="24">
        <f ca="1">_xlfn.AGGREGATE(1,5,Calo[Cân Nặng])</f>
        <v>70.607142857142861</v>
      </c>
    </row>
    <row r="84" spans="3:9" ht="15" hidden="1" x14ac:dyDescent="0.2">
      <c r="C84" s="3">
        <v>22</v>
      </c>
      <c r="D84" s="5" t="s">
        <v>136</v>
      </c>
      <c r="E84" s="7">
        <v>45007</v>
      </c>
      <c r="F84" s="4">
        <f ca="1">'Track Calo và Weight'!G26</f>
        <v>2033</v>
      </c>
      <c r="G84" s="4">
        <f ca="1">'Track Calo và Weight'!H26</f>
        <v>66</v>
      </c>
      <c r="H84" s="22">
        <f ca="1">_xlfn.AGGREGATE(1,5,Calo[Calo Intake])</f>
        <v>2552.8214285714284</v>
      </c>
      <c r="I84" s="24">
        <f ca="1">_xlfn.AGGREGATE(1,5,Calo[Cân Nặng])</f>
        <v>70.607142857142861</v>
      </c>
    </row>
    <row r="85" spans="3:9" ht="15" hidden="1" x14ac:dyDescent="0.2">
      <c r="C85" s="3">
        <v>23</v>
      </c>
      <c r="D85" s="5" t="s">
        <v>136</v>
      </c>
      <c r="E85" s="7">
        <v>45008</v>
      </c>
      <c r="F85" s="4">
        <f ca="1">'Track Calo và Weight'!G27</f>
        <v>2895</v>
      </c>
      <c r="G85" s="4">
        <f ca="1">'Track Calo và Weight'!H27</f>
        <v>69</v>
      </c>
      <c r="H85" s="22">
        <f ca="1">_xlfn.AGGREGATE(1,5,Calo[Calo Intake])</f>
        <v>2552.8214285714284</v>
      </c>
      <c r="I85" s="24">
        <f ca="1">_xlfn.AGGREGATE(1,5,Calo[Cân Nặng])</f>
        <v>70.607142857142861</v>
      </c>
    </row>
    <row r="86" spans="3:9" ht="15" hidden="1" x14ac:dyDescent="0.2">
      <c r="C86" s="3">
        <v>24</v>
      </c>
      <c r="D86" s="5" t="s">
        <v>136</v>
      </c>
      <c r="E86" s="7">
        <v>45009</v>
      </c>
      <c r="F86" s="4">
        <f ca="1">'Track Calo và Weight'!G28</f>
        <v>2686</v>
      </c>
      <c r="G86" s="4">
        <f ca="1">'Track Calo và Weight'!H28</f>
        <v>70</v>
      </c>
      <c r="H86" s="22">
        <f ca="1">_xlfn.AGGREGATE(1,5,Calo[Calo Intake])</f>
        <v>2552.8214285714284</v>
      </c>
      <c r="I86" s="24">
        <f ca="1">_xlfn.AGGREGATE(1,5,Calo[Cân Nặng])</f>
        <v>70.607142857142861</v>
      </c>
    </row>
    <row r="87" spans="3:9" ht="15" hidden="1" x14ac:dyDescent="0.2">
      <c r="C87" s="3">
        <v>25</v>
      </c>
      <c r="D87" s="5" t="s">
        <v>136</v>
      </c>
      <c r="E87" s="7">
        <v>45010</v>
      </c>
      <c r="F87" s="4">
        <f ca="1">'Track Calo và Weight'!G29</f>
        <v>2553</v>
      </c>
      <c r="G87" s="4">
        <f ca="1">'Track Calo và Weight'!H29</f>
        <v>72</v>
      </c>
      <c r="H87" s="22">
        <f ca="1">_xlfn.AGGREGATE(1,5,Calo[Calo Intake])</f>
        <v>2552.8214285714284</v>
      </c>
      <c r="I87" s="24">
        <f ca="1">_xlfn.AGGREGATE(1,5,Calo[Cân Nặng])</f>
        <v>70.607142857142861</v>
      </c>
    </row>
    <row r="88" spans="3:9" ht="15" hidden="1" x14ac:dyDescent="0.2">
      <c r="C88" s="3">
        <v>26</v>
      </c>
      <c r="D88" s="5" t="s">
        <v>136</v>
      </c>
      <c r="E88" s="7">
        <v>45011</v>
      </c>
      <c r="F88" s="4">
        <f ca="1">'Track Calo và Weight'!G30</f>
        <v>2993</v>
      </c>
      <c r="G88" s="4">
        <f ca="1">'Track Calo và Weight'!H30</f>
        <v>63</v>
      </c>
      <c r="H88" s="22">
        <f ca="1">_xlfn.AGGREGATE(1,5,Calo[Calo Intake])</f>
        <v>2552.8214285714284</v>
      </c>
      <c r="I88" s="24">
        <f ca="1">_xlfn.AGGREGATE(1,5,Calo[Cân Nặng])</f>
        <v>70.607142857142861</v>
      </c>
    </row>
    <row r="89" spans="3:9" ht="15" hidden="1" x14ac:dyDescent="0.2">
      <c r="C89" s="3">
        <v>27</v>
      </c>
      <c r="D89" s="5" t="s">
        <v>136</v>
      </c>
      <c r="E89" s="7">
        <v>45012</v>
      </c>
      <c r="F89" s="4">
        <f ca="1">'Track Calo và Weight'!G31</f>
        <v>2632</v>
      </c>
      <c r="G89" s="4">
        <f ca="1">'Track Calo và Weight'!H31</f>
        <v>75</v>
      </c>
      <c r="H89" s="22">
        <f ca="1">_xlfn.AGGREGATE(1,5,Calo[Calo Intake])</f>
        <v>2552.8214285714284</v>
      </c>
      <c r="I89" s="24">
        <f ca="1">_xlfn.AGGREGATE(1,5,Calo[Cân Nặng])</f>
        <v>70.607142857142861</v>
      </c>
    </row>
    <row r="90" spans="3:9" ht="15" hidden="1" x14ac:dyDescent="0.2">
      <c r="C90" s="3">
        <v>28</v>
      </c>
      <c r="D90" s="5" t="s">
        <v>136</v>
      </c>
      <c r="E90" s="7">
        <v>45013</v>
      </c>
      <c r="F90" s="4">
        <f ca="1">'Track Calo và Weight'!G32</f>
        <v>2573</v>
      </c>
      <c r="G90" s="4">
        <f ca="1">'Track Calo và Weight'!H32</f>
        <v>68</v>
      </c>
      <c r="H90" s="22">
        <f ca="1">_xlfn.AGGREGATE(1,5,Calo[Calo Intake])</f>
        <v>2552.8214285714284</v>
      </c>
      <c r="I90" s="24">
        <f ca="1">_xlfn.AGGREGATE(1,5,Calo[Cân Nặng])</f>
        <v>70.607142857142861</v>
      </c>
    </row>
    <row r="91" spans="3:9" ht="15" hidden="1" x14ac:dyDescent="0.2">
      <c r="C91" s="3">
        <v>29</v>
      </c>
      <c r="D91" s="5" t="s">
        <v>136</v>
      </c>
      <c r="E91" s="7">
        <v>45014</v>
      </c>
      <c r="F91" s="4">
        <f ca="1">'Track Calo và Weight'!G33</f>
        <v>2576</v>
      </c>
      <c r="G91" s="4">
        <f ca="1">'Track Calo và Weight'!H33</f>
        <v>73</v>
      </c>
      <c r="H91" s="22">
        <f ca="1">_xlfn.AGGREGATE(1,5,Calo[Calo Intake])</f>
        <v>2552.8214285714284</v>
      </c>
      <c r="I91" s="24">
        <f ca="1">_xlfn.AGGREGATE(1,5,Calo[Cân Nặng])</f>
        <v>70.607142857142861</v>
      </c>
    </row>
    <row r="92" spans="3:9" ht="15" hidden="1" x14ac:dyDescent="0.2">
      <c r="C92" s="3">
        <v>30</v>
      </c>
      <c r="D92" s="5" t="s">
        <v>136</v>
      </c>
      <c r="E92" s="7">
        <v>45015</v>
      </c>
      <c r="F92" s="4">
        <f ca="1">'Track Calo và Weight'!G34</f>
        <v>2912</v>
      </c>
      <c r="G92" s="4">
        <f ca="1">'Track Calo và Weight'!H34</f>
        <v>74</v>
      </c>
      <c r="H92" s="22">
        <f ca="1">_xlfn.AGGREGATE(1,5,Calo[Calo Intake])</f>
        <v>2552.8214285714284</v>
      </c>
      <c r="I92" s="24">
        <f ca="1">_xlfn.AGGREGATE(1,5,Calo[Cân Nặng])</f>
        <v>70.607142857142861</v>
      </c>
    </row>
    <row r="93" spans="3:9" ht="15.75" hidden="1" thickBot="1" x14ac:dyDescent="0.25">
      <c r="C93" s="16">
        <v>31</v>
      </c>
      <c r="D93" s="17" t="s">
        <v>136</v>
      </c>
      <c r="E93" s="18">
        <v>45016</v>
      </c>
      <c r="F93" s="19">
        <f ca="1">'Track Calo và Weight'!G35</f>
        <v>2339</v>
      </c>
      <c r="G93" s="19">
        <f ca="1">'Track Calo và Weight'!H35</f>
        <v>72</v>
      </c>
      <c r="H93" s="22">
        <f ca="1">_xlfn.AGGREGATE(1,5,Calo[Calo Intake])</f>
        <v>2552.8214285714284</v>
      </c>
      <c r="I93" s="24">
        <f ca="1">_xlfn.AGGREGATE(1,5,Calo[Cân Nặng])</f>
        <v>70.607142857142861</v>
      </c>
    </row>
    <row r="94" spans="3:9" ht="15" hidden="1" x14ac:dyDescent="0.2">
      <c r="C94" s="12">
        <v>1</v>
      </c>
      <c r="D94" s="13" t="s">
        <v>137</v>
      </c>
      <c r="E94" s="14">
        <v>45017</v>
      </c>
      <c r="F94" s="15">
        <f ca="1">'Track Calo và Weight'!I5</f>
        <v>2680</v>
      </c>
      <c r="G94" s="15">
        <f ca="1">'Track Calo và Weight'!J5</f>
        <v>76</v>
      </c>
      <c r="H94" s="22">
        <f ca="1">_xlfn.AGGREGATE(1,5,Calo[Calo Intake])</f>
        <v>2552.8214285714284</v>
      </c>
      <c r="I94" s="24">
        <f ca="1">_xlfn.AGGREGATE(1,5,Calo[Cân Nặng])</f>
        <v>70.607142857142861</v>
      </c>
    </row>
    <row r="95" spans="3:9" ht="15" hidden="1" x14ac:dyDescent="0.2">
      <c r="C95" s="3">
        <v>2</v>
      </c>
      <c r="D95" s="5" t="s">
        <v>137</v>
      </c>
      <c r="E95" s="7">
        <v>45018</v>
      </c>
      <c r="F95" s="4">
        <f ca="1">'Track Calo và Weight'!I6</f>
        <v>2219</v>
      </c>
      <c r="G95" s="4">
        <f ca="1">'Track Calo và Weight'!J6</f>
        <v>62</v>
      </c>
      <c r="H95" s="22">
        <f ca="1">_xlfn.AGGREGATE(1,5,Calo[Calo Intake])</f>
        <v>2552.8214285714284</v>
      </c>
      <c r="I95" s="24">
        <f ca="1">_xlfn.AGGREGATE(1,5,Calo[Cân Nặng])</f>
        <v>70.607142857142861</v>
      </c>
    </row>
    <row r="96" spans="3:9" ht="15" hidden="1" x14ac:dyDescent="0.2">
      <c r="C96" s="3">
        <v>3</v>
      </c>
      <c r="D96" s="5" t="s">
        <v>137</v>
      </c>
      <c r="E96" s="7">
        <v>45019</v>
      </c>
      <c r="F96" s="4">
        <f ca="1">'Track Calo và Weight'!I7</f>
        <v>2122</v>
      </c>
      <c r="G96" s="4">
        <f ca="1">'Track Calo và Weight'!J7</f>
        <v>80</v>
      </c>
      <c r="H96" s="22">
        <f ca="1">_xlfn.AGGREGATE(1,5,Calo[Calo Intake])</f>
        <v>2552.8214285714284</v>
      </c>
      <c r="I96" s="24">
        <f ca="1">_xlfn.AGGREGATE(1,5,Calo[Cân Nặng])</f>
        <v>70.607142857142861</v>
      </c>
    </row>
    <row r="97" spans="3:9" ht="15" hidden="1" x14ac:dyDescent="0.2">
      <c r="C97" s="3">
        <v>4</v>
      </c>
      <c r="D97" s="5" t="s">
        <v>137</v>
      </c>
      <c r="E97" s="7">
        <v>45020</v>
      </c>
      <c r="F97" s="4">
        <f ca="1">'Track Calo và Weight'!I8</f>
        <v>2085</v>
      </c>
      <c r="G97" s="4">
        <f ca="1">'Track Calo và Weight'!J8</f>
        <v>68</v>
      </c>
      <c r="H97" s="22">
        <f ca="1">_xlfn.AGGREGATE(1,5,Calo[Calo Intake])</f>
        <v>2552.8214285714284</v>
      </c>
      <c r="I97" s="24">
        <f ca="1">_xlfn.AGGREGATE(1,5,Calo[Cân Nặng])</f>
        <v>70.607142857142861</v>
      </c>
    </row>
    <row r="98" spans="3:9" ht="15" hidden="1" x14ac:dyDescent="0.2">
      <c r="C98" s="3">
        <v>5</v>
      </c>
      <c r="D98" s="5" t="s">
        <v>137</v>
      </c>
      <c r="E98" s="7">
        <v>45021</v>
      </c>
      <c r="F98" s="4">
        <f ca="1">'Track Calo và Weight'!I9</f>
        <v>2227</v>
      </c>
      <c r="G98" s="4">
        <f ca="1">'Track Calo và Weight'!J9</f>
        <v>79</v>
      </c>
      <c r="H98" s="22">
        <f ca="1">_xlfn.AGGREGATE(1,5,Calo[Calo Intake])</f>
        <v>2552.8214285714284</v>
      </c>
      <c r="I98" s="24">
        <f ca="1">_xlfn.AGGREGATE(1,5,Calo[Cân Nặng])</f>
        <v>70.607142857142861</v>
      </c>
    </row>
    <row r="99" spans="3:9" ht="15" hidden="1" x14ac:dyDescent="0.2">
      <c r="C99" s="3">
        <v>6</v>
      </c>
      <c r="D99" s="5" t="s">
        <v>137</v>
      </c>
      <c r="E99" s="7">
        <v>45022</v>
      </c>
      <c r="F99" s="4">
        <f ca="1">'Track Calo và Weight'!I10</f>
        <v>2456</v>
      </c>
      <c r="G99" s="4">
        <f ca="1">'Track Calo và Weight'!J10</f>
        <v>61</v>
      </c>
      <c r="H99" s="22">
        <f ca="1">_xlfn.AGGREGATE(1,5,Calo[Calo Intake])</f>
        <v>2552.8214285714284</v>
      </c>
      <c r="I99" s="24">
        <f ca="1">_xlfn.AGGREGATE(1,5,Calo[Cân Nặng])</f>
        <v>70.607142857142861</v>
      </c>
    </row>
    <row r="100" spans="3:9" ht="15" hidden="1" x14ac:dyDescent="0.2">
      <c r="C100" s="3">
        <v>7</v>
      </c>
      <c r="D100" s="5" t="s">
        <v>137</v>
      </c>
      <c r="E100" s="7">
        <v>45023</v>
      </c>
      <c r="F100" s="4">
        <f ca="1">'Track Calo và Weight'!I11</f>
        <v>2213</v>
      </c>
      <c r="G100" s="4">
        <f ca="1">'Track Calo và Weight'!J11</f>
        <v>64</v>
      </c>
      <c r="H100" s="22">
        <f ca="1">_xlfn.AGGREGATE(1,5,Calo[Calo Intake])</f>
        <v>2552.8214285714284</v>
      </c>
      <c r="I100" s="24">
        <f ca="1">_xlfn.AGGREGATE(1,5,Calo[Cân Nặng])</f>
        <v>70.607142857142861</v>
      </c>
    </row>
    <row r="101" spans="3:9" ht="15" hidden="1" x14ac:dyDescent="0.2">
      <c r="C101" s="3">
        <v>8</v>
      </c>
      <c r="D101" s="5" t="s">
        <v>137</v>
      </c>
      <c r="E101" s="7">
        <v>45024</v>
      </c>
      <c r="F101" s="4">
        <f ca="1">'Track Calo và Weight'!I12</f>
        <v>2929</v>
      </c>
      <c r="G101" s="4">
        <f ca="1">'Track Calo và Weight'!J12</f>
        <v>79</v>
      </c>
      <c r="H101" s="22">
        <f ca="1">_xlfn.AGGREGATE(1,5,Calo[Calo Intake])</f>
        <v>2552.8214285714284</v>
      </c>
      <c r="I101" s="24">
        <f ca="1">_xlfn.AGGREGATE(1,5,Calo[Cân Nặng])</f>
        <v>70.607142857142861</v>
      </c>
    </row>
    <row r="102" spans="3:9" ht="15" hidden="1" x14ac:dyDescent="0.2">
      <c r="C102" s="3">
        <v>9</v>
      </c>
      <c r="D102" s="5" t="s">
        <v>137</v>
      </c>
      <c r="E102" s="7">
        <v>45025</v>
      </c>
      <c r="F102" s="4">
        <f ca="1">'Track Calo và Weight'!I13</f>
        <v>2983</v>
      </c>
      <c r="G102" s="4">
        <f ca="1">'Track Calo và Weight'!J13</f>
        <v>67</v>
      </c>
      <c r="H102" s="22">
        <f ca="1">_xlfn.AGGREGATE(1,5,Calo[Calo Intake])</f>
        <v>2552.8214285714284</v>
      </c>
      <c r="I102" s="24">
        <f ca="1">_xlfn.AGGREGATE(1,5,Calo[Cân Nặng])</f>
        <v>70.607142857142861</v>
      </c>
    </row>
    <row r="103" spans="3:9" ht="15" hidden="1" x14ac:dyDescent="0.2">
      <c r="C103" s="3">
        <v>10</v>
      </c>
      <c r="D103" s="5" t="s">
        <v>137</v>
      </c>
      <c r="E103" s="7">
        <v>45026</v>
      </c>
      <c r="F103" s="4">
        <f ca="1">'Track Calo và Weight'!I14</f>
        <v>2527</v>
      </c>
      <c r="G103" s="4">
        <f ca="1">'Track Calo và Weight'!J14</f>
        <v>78</v>
      </c>
      <c r="H103" s="22">
        <f ca="1">_xlfn.AGGREGATE(1,5,Calo[Calo Intake])</f>
        <v>2552.8214285714284</v>
      </c>
      <c r="I103" s="24">
        <f ca="1">_xlfn.AGGREGATE(1,5,Calo[Cân Nặng])</f>
        <v>70.607142857142861</v>
      </c>
    </row>
    <row r="104" spans="3:9" ht="15" hidden="1" x14ac:dyDescent="0.2">
      <c r="C104" s="3">
        <v>11</v>
      </c>
      <c r="D104" s="5" t="s">
        <v>137</v>
      </c>
      <c r="E104" s="7">
        <v>45027</v>
      </c>
      <c r="F104" s="4">
        <f ca="1">'Track Calo và Weight'!I15</f>
        <v>2269</v>
      </c>
      <c r="G104" s="4">
        <f ca="1">'Track Calo và Weight'!J15</f>
        <v>77</v>
      </c>
      <c r="H104" s="22">
        <f ca="1">_xlfn.AGGREGATE(1,5,Calo[Calo Intake])</f>
        <v>2552.8214285714284</v>
      </c>
      <c r="I104" s="24">
        <f ca="1">_xlfn.AGGREGATE(1,5,Calo[Cân Nặng])</f>
        <v>70.607142857142861</v>
      </c>
    </row>
    <row r="105" spans="3:9" ht="15" hidden="1" x14ac:dyDescent="0.2">
      <c r="C105" s="3">
        <v>12</v>
      </c>
      <c r="D105" s="5" t="s">
        <v>137</v>
      </c>
      <c r="E105" s="7">
        <v>45028</v>
      </c>
      <c r="F105" s="4">
        <f ca="1">'Track Calo và Weight'!I16</f>
        <v>2569</v>
      </c>
      <c r="G105" s="4">
        <f ca="1">'Track Calo và Weight'!J16</f>
        <v>74</v>
      </c>
      <c r="H105" s="22">
        <f ca="1">_xlfn.AGGREGATE(1,5,Calo[Calo Intake])</f>
        <v>2552.8214285714284</v>
      </c>
      <c r="I105" s="24">
        <f ca="1">_xlfn.AGGREGATE(1,5,Calo[Cân Nặng])</f>
        <v>70.607142857142861</v>
      </c>
    </row>
    <row r="106" spans="3:9" ht="15" hidden="1" x14ac:dyDescent="0.2">
      <c r="C106" s="3">
        <v>13</v>
      </c>
      <c r="D106" s="5" t="s">
        <v>137</v>
      </c>
      <c r="E106" s="7">
        <v>45029</v>
      </c>
      <c r="F106" s="4">
        <f ca="1">'Track Calo và Weight'!I17</f>
        <v>2230</v>
      </c>
      <c r="G106" s="4">
        <f ca="1">'Track Calo và Weight'!J17</f>
        <v>79</v>
      </c>
      <c r="H106" s="22">
        <f ca="1">_xlfn.AGGREGATE(1,5,Calo[Calo Intake])</f>
        <v>2552.8214285714284</v>
      </c>
      <c r="I106" s="24">
        <f ca="1">_xlfn.AGGREGATE(1,5,Calo[Cân Nặng])</f>
        <v>70.607142857142861</v>
      </c>
    </row>
    <row r="107" spans="3:9" ht="15" hidden="1" x14ac:dyDescent="0.2">
      <c r="C107" s="3">
        <v>14</v>
      </c>
      <c r="D107" s="5" t="s">
        <v>137</v>
      </c>
      <c r="E107" s="7">
        <v>45030</v>
      </c>
      <c r="F107" s="4">
        <f ca="1">'Track Calo và Weight'!I18</f>
        <v>2405</v>
      </c>
      <c r="G107" s="4">
        <f ca="1">'Track Calo và Weight'!J18</f>
        <v>68</v>
      </c>
      <c r="H107" s="22">
        <f ca="1">_xlfn.AGGREGATE(1,5,Calo[Calo Intake])</f>
        <v>2552.8214285714284</v>
      </c>
      <c r="I107" s="24">
        <f ca="1">_xlfn.AGGREGATE(1,5,Calo[Cân Nặng])</f>
        <v>70.607142857142861</v>
      </c>
    </row>
    <row r="108" spans="3:9" ht="15" hidden="1" x14ac:dyDescent="0.2">
      <c r="C108" s="3">
        <v>15</v>
      </c>
      <c r="D108" s="5" t="s">
        <v>137</v>
      </c>
      <c r="E108" s="7">
        <v>45031</v>
      </c>
      <c r="F108" s="4">
        <f ca="1">'Track Calo và Weight'!I19</f>
        <v>2821</v>
      </c>
      <c r="G108" s="4">
        <f ca="1">'Track Calo và Weight'!J19</f>
        <v>61</v>
      </c>
      <c r="H108" s="22">
        <f ca="1">_xlfn.AGGREGATE(1,5,Calo[Calo Intake])</f>
        <v>2552.8214285714284</v>
      </c>
      <c r="I108" s="24">
        <f ca="1">_xlfn.AGGREGATE(1,5,Calo[Cân Nặng])</f>
        <v>70.607142857142861</v>
      </c>
    </row>
    <row r="109" spans="3:9" ht="15" hidden="1" x14ac:dyDescent="0.2">
      <c r="C109" s="3">
        <v>16</v>
      </c>
      <c r="D109" s="5" t="s">
        <v>137</v>
      </c>
      <c r="E109" s="7">
        <v>45032</v>
      </c>
      <c r="F109" s="4">
        <f ca="1">'Track Calo và Weight'!I20</f>
        <v>2196</v>
      </c>
      <c r="G109" s="4">
        <f ca="1">'Track Calo và Weight'!J20</f>
        <v>61</v>
      </c>
      <c r="H109" s="22">
        <f ca="1">_xlfn.AGGREGATE(1,5,Calo[Calo Intake])</f>
        <v>2552.8214285714284</v>
      </c>
      <c r="I109" s="24">
        <f ca="1">_xlfn.AGGREGATE(1,5,Calo[Cân Nặng])</f>
        <v>70.607142857142861</v>
      </c>
    </row>
    <row r="110" spans="3:9" ht="15" hidden="1" x14ac:dyDescent="0.2">
      <c r="C110" s="3">
        <v>17</v>
      </c>
      <c r="D110" s="5" t="s">
        <v>137</v>
      </c>
      <c r="E110" s="7">
        <v>45033</v>
      </c>
      <c r="F110" s="4">
        <f ca="1">'Track Calo và Weight'!I21</f>
        <v>2928</v>
      </c>
      <c r="G110" s="4">
        <f ca="1">'Track Calo và Weight'!J21</f>
        <v>75</v>
      </c>
      <c r="H110" s="22">
        <f ca="1">_xlfn.AGGREGATE(1,5,Calo[Calo Intake])</f>
        <v>2552.8214285714284</v>
      </c>
      <c r="I110" s="24">
        <f ca="1">_xlfn.AGGREGATE(1,5,Calo[Cân Nặng])</f>
        <v>70.607142857142861</v>
      </c>
    </row>
    <row r="111" spans="3:9" ht="15" hidden="1" x14ac:dyDescent="0.2">
      <c r="C111" s="3">
        <v>18</v>
      </c>
      <c r="D111" s="5" t="s">
        <v>137</v>
      </c>
      <c r="E111" s="7">
        <v>45034</v>
      </c>
      <c r="F111" s="4">
        <f ca="1">'Track Calo và Weight'!I22</f>
        <v>2112</v>
      </c>
      <c r="G111" s="4">
        <f ca="1">'Track Calo và Weight'!J22</f>
        <v>69</v>
      </c>
      <c r="H111" s="22">
        <f ca="1">_xlfn.AGGREGATE(1,5,Calo[Calo Intake])</f>
        <v>2552.8214285714284</v>
      </c>
      <c r="I111" s="24">
        <f ca="1">_xlfn.AGGREGATE(1,5,Calo[Cân Nặng])</f>
        <v>70.607142857142861</v>
      </c>
    </row>
    <row r="112" spans="3:9" ht="15" hidden="1" x14ac:dyDescent="0.2">
      <c r="C112" s="3">
        <v>19</v>
      </c>
      <c r="D112" s="5" t="s">
        <v>137</v>
      </c>
      <c r="E112" s="7">
        <v>45035</v>
      </c>
      <c r="F112" s="4">
        <f ca="1">'Track Calo và Weight'!I23</f>
        <v>2786</v>
      </c>
      <c r="G112" s="4">
        <f ca="1">'Track Calo và Weight'!J23</f>
        <v>62</v>
      </c>
      <c r="H112" s="22">
        <f ca="1">_xlfn.AGGREGATE(1,5,Calo[Calo Intake])</f>
        <v>2552.8214285714284</v>
      </c>
      <c r="I112" s="24">
        <f ca="1">_xlfn.AGGREGATE(1,5,Calo[Cân Nặng])</f>
        <v>70.607142857142861</v>
      </c>
    </row>
    <row r="113" spans="3:9" ht="15" hidden="1" x14ac:dyDescent="0.2">
      <c r="C113" s="3">
        <v>20</v>
      </c>
      <c r="D113" s="5" t="s">
        <v>137</v>
      </c>
      <c r="E113" s="7">
        <v>45036</v>
      </c>
      <c r="F113" s="4">
        <f ca="1">'Track Calo và Weight'!I24</f>
        <v>2514</v>
      </c>
      <c r="G113" s="4">
        <f ca="1">'Track Calo và Weight'!J24</f>
        <v>78</v>
      </c>
      <c r="H113" s="22">
        <f ca="1">_xlfn.AGGREGATE(1,5,Calo[Calo Intake])</f>
        <v>2552.8214285714284</v>
      </c>
      <c r="I113" s="24">
        <f ca="1">_xlfn.AGGREGATE(1,5,Calo[Cân Nặng])</f>
        <v>70.607142857142861</v>
      </c>
    </row>
    <row r="114" spans="3:9" ht="15" hidden="1" x14ac:dyDescent="0.2">
      <c r="C114" s="3">
        <v>21</v>
      </c>
      <c r="D114" s="5" t="s">
        <v>137</v>
      </c>
      <c r="E114" s="7">
        <v>45037</v>
      </c>
      <c r="F114" s="4">
        <f ca="1">'Track Calo và Weight'!I25</f>
        <v>2398</v>
      </c>
      <c r="G114" s="4">
        <f ca="1">'Track Calo và Weight'!J25</f>
        <v>63</v>
      </c>
      <c r="H114" s="22">
        <f ca="1">_xlfn.AGGREGATE(1,5,Calo[Calo Intake])</f>
        <v>2552.8214285714284</v>
      </c>
      <c r="I114" s="24">
        <f ca="1">_xlfn.AGGREGATE(1,5,Calo[Cân Nặng])</f>
        <v>70.607142857142861</v>
      </c>
    </row>
    <row r="115" spans="3:9" ht="15" hidden="1" x14ac:dyDescent="0.2">
      <c r="C115" s="3">
        <v>22</v>
      </c>
      <c r="D115" s="5" t="s">
        <v>137</v>
      </c>
      <c r="E115" s="7">
        <v>45038</v>
      </c>
      <c r="F115" s="4">
        <f ca="1">'Track Calo và Weight'!I26</f>
        <v>2280</v>
      </c>
      <c r="G115" s="4">
        <f ca="1">'Track Calo và Weight'!J26</f>
        <v>78</v>
      </c>
      <c r="H115" s="22">
        <f ca="1">_xlfn.AGGREGATE(1,5,Calo[Calo Intake])</f>
        <v>2552.8214285714284</v>
      </c>
      <c r="I115" s="24">
        <f ca="1">_xlfn.AGGREGATE(1,5,Calo[Cân Nặng])</f>
        <v>70.607142857142861</v>
      </c>
    </row>
    <row r="116" spans="3:9" ht="15" hidden="1" x14ac:dyDescent="0.2">
      <c r="C116" s="3">
        <v>23</v>
      </c>
      <c r="D116" s="5" t="s">
        <v>137</v>
      </c>
      <c r="E116" s="7">
        <v>45039</v>
      </c>
      <c r="F116" s="4">
        <f ca="1">'Track Calo và Weight'!I27</f>
        <v>2205</v>
      </c>
      <c r="G116" s="4">
        <f ca="1">'Track Calo và Weight'!J27</f>
        <v>62</v>
      </c>
      <c r="H116" s="22">
        <f ca="1">_xlfn.AGGREGATE(1,5,Calo[Calo Intake])</f>
        <v>2552.8214285714284</v>
      </c>
      <c r="I116" s="24">
        <f ca="1">_xlfn.AGGREGATE(1,5,Calo[Cân Nặng])</f>
        <v>70.607142857142861</v>
      </c>
    </row>
    <row r="117" spans="3:9" ht="15" hidden="1" x14ac:dyDescent="0.2">
      <c r="C117" s="3">
        <v>24</v>
      </c>
      <c r="D117" s="5" t="s">
        <v>137</v>
      </c>
      <c r="E117" s="7">
        <v>45040</v>
      </c>
      <c r="F117" s="4">
        <f ca="1">'Track Calo và Weight'!I28</f>
        <v>2013</v>
      </c>
      <c r="G117" s="4">
        <f ca="1">'Track Calo và Weight'!J28</f>
        <v>77</v>
      </c>
      <c r="H117" s="22">
        <f ca="1">_xlfn.AGGREGATE(1,5,Calo[Calo Intake])</f>
        <v>2552.8214285714284</v>
      </c>
      <c r="I117" s="24">
        <f ca="1">_xlfn.AGGREGATE(1,5,Calo[Cân Nặng])</f>
        <v>70.607142857142861</v>
      </c>
    </row>
    <row r="118" spans="3:9" ht="15" hidden="1" x14ac:dyDescent="0.2">
      <c r="C118" s="3">
        <v>25</v>
      </c>
      <c r="D118" s="5" t="s">
        <v>137</v>
      </c>
      <c r="E118" s="7">
        <v>45041</v>
      </c>
      <c r="F118" s="4">
        <f ca="1">'Track Calo và Weight'!I29</f>
        <v>2923</v>
      </c>
      <c r="G118" s="4">
        <f ca="1">'Track Calo và Weight'!J29</f>
        <v>73</v>
      </c>
      <c r="H118" s="22">
        <f ca="1">_xlfn.AGGREGATE(1,5,Calo[Calo Intake])</f>
        <v>2552.8214285714284</v>
      </c>
      <c r="I118" s="24">
        <f ca="1">_xlfn.AGGREGATE(1,5,Calo[Cân Nặng])</f>
        <v>70.607142857142861</v>
      </c>
    </row>
    <row r="119" spans="3:9" ht="15" hidden="1" x14ac:dyDescent="0.2">
      <c r="C119" s="3">
        <v>26</v>
      </c>
      <c r="D119" s="5" t="s">
        <v>137</v>
      </c>
      <c r="E119" s="7">
        <v>45042</v>
      </c>
      <c r="F119" s="4">
        <f ca="1">'Track Calo và Weight'!I30</f>
        <v>2161</v>
      </c>
      <c r="G119" s="4">
        <f ca="1">'Track Calo và Weight'!J30</f>
        <v>66</v>
      </c>
      <c r="H119" s="22">
        <f ca="1">_xlfn.AGGREGATE(1,5,Calo[Calo Intake])</f>
        <v>2552.8214285714284</v>
      </c>
      <c r="I119" s="24">
        <f ca="1">_xlfn.AGGREGATE(1,5,Calo[Cân Nặng])</f>
        <v>70.607142857142861</v>
      </c>
    </row>
    <row r="120" spans="3:9" ht="15" hidden="1" x14ac:dyDescent="0.2">
      <c r="C120" s="3">
        <v>27</v>
      </c>
      <c r="D120" s="5" t="s">
        <v>137</v>
      </c>
      <c r="E120" s="7">
        <v>45043</v>
      </c>
      <c r="F120" s="4">
        <f ca="1">'Track Calo và Weight'!I31</f>
        <v>2132</v>
      </c>
      <c r="G120" s="4">
        <f ca="1">'Track Calo và Weight'!J31</f>
        <v>60</v>
      </c>
      <c r="H120" s="22">
        <f ca="1">_xlfn.AGGREGATE(1,5,Calo[Calo Intake])</f>
        <v>2552.8214285714284</v>
      </c>
      <c r="I120" s="24">
        <f ca="1">_xlfn.AGGREGATE(1,5,Calo[Cân Nặng])</f>
        <v>70.607142857142861</v>
      </c>
    </row>
    <row r="121" spans="3:9" ht="15" hidden="1" x14ac:dyDescent="0.2">
      <c r="C121" s="3">
        <v>28</v>
      </c>
      <c r="D121" s="5" t="s">
        <v>137</v>
      </c>
      <c r="E121" s="7">
        <v>45044</v>
      </c>
      <c r="F121" s="4">
        <f ca="1">'Track Calo và Weight'!I32</f>
        <v>2114</v>
      </c>
      <c r="G121" s="4">
        <f ca="1">'Track Calo và Weight'!J32</f>
        <v>79</v>
      </c>
      <c r="H121" s="22">
        <f ca="1">_xlfn.AGGREGATE(1,5,Calo[Calo Intake])</f>
        <v>2552.8214285714284</v>
      </c>
      <c r="I121" s="24">
        <f ca="1">_xlfn.AGGREGATE(1,5,Calo[Cân Nặng])</f>
        <v>70.607142857142861</v>
      </c>
    </row>
    <row r="122" spans="3:9" ht="15" hidden="1" x14ac:dyDescent="0.2">
      <c r="C122" s="3">
        <v>29</v>
      </c>
      <c r="D122" s="5" t="s">
        <v>137</v>
      </c>
      <c r="E122" s="7">
        <v>45045</v>
      </c>
      <c r="F122" s="4">
        <f ca="1">'Track Calo và Weight'!I33</f>
        <v>2403</v>
      </c>
      <c r="G122" s="4">
        <f ca="1">'Track Calo và Weight'!J33</f>
        <v>65</v>
      </c>
      <c r="H122" s="22">
        <f ca="1">_xlfn.AGGREGATE(1,5,Calo[Calo Intake])</f>
        <v>2552.8214285714284</v>
      </c>
      <c r="I122" s="24">
        <f ca="1">_xlfn.AGGREGATE(1,5,Calo[Cân Nặng])</f>
        <v>70.607142857142861</v>
      </c>
    </row>
    <row r="123" spans="3:9" ht="15.75" hidden="1" thickBot="1" x14ac:dyDescent="0.25">
      <c r="C123" s="16">
        <v>30</v>
      </c>
      <c r="D123" s="17" t="s">
        <v>137</v>
      </c>
      <c r="E123" s="18">
        <v>45046</v>
      </c>
      <c r="F123" s="19">
        <f ca="1">'Track Calo và Weight'!I34</f>
        <v>2189</v>
      </c>
      <c r="G123" s="19">
        <f ca="1">'Track Calo và Weight'!J34</f>
        <v>79</v>
      </c>
      <c r="H123" s="22">
        <f ca="1">_xlfn.AGGREGATE(1,5,Calo[Calo Intake])</f>
        <v>2552.8214285714284</v>
      </c>
      <c r="I123" s="24">
        <f ca="1">_xlfn.AGGREGATE(1,5,Calo[Cân Nặng])</f>
        <v>70.607142857142861</v>
      </c>
    </row>
    <row r="124" spans="3:9" ht="15" hidden="1" x14ac:dyDescent="0.2">
      <c r="C124" s="12">
        <v>1</v>
      </c>
      <c r="D124" s="13" t="s">
        <v>138</v>
      </c>
      <c r="E124" s="14">
        <v>45047</v>
      </c>
      <c r="F124" s="15">
        <f ca="1">'Track Calo và Weight'!K5</f>
        <v>2662</v>
      </c>
      <c r="G124" s="15">
        <f ca="1">'Track Calo và Weight'!L5</f>
        <v>70</v>
      </c>
      <c r="H124" s="22">
        <f ca="1">_xlfn.AGGREGATE(1,5,Calo[Calo Intake])</f>
        <v>2552.8214285714284</v>
      </c>
      <c r="I124" s="24">
        <f ca="1">_xlfn.AGGREGATE(1,5,Calo[Cân Nặng])</f>
        <v>70.607142857142861</v>
      </c>
    </row>
    <row r="125" spans="3:9" ht="15" hidden="1" x14ac:dyDescent="0.2">
      <c r="C125" s="3">
        <v>2</v>
      </c>
      <c r="D125" s="5" t="s">
        <v>138</v>
      </c>
      <c r="E125" s="7">
        <v>45048</v>
      </c>
      <c r="F125" s="4">
        <f ca="1">'Track Calo và Weight'!K6</f>
        <v>2147</v>
      </c>
      <c r="G125" s="4">
        <f ca="1">'Track Calo và Weight'!L6</f>
        <v>70</v>
      </c>
      <c r="H125" s="22">
        <f ca="1">_xlfn.AGGREGATE(1,5,Calo[Calo Intake])</f>
        <v>2552.8214285714284</v>
      </c>
      <c r="I125" s="24">
        <f ca="1">_xlfn.AGGREGATE(1,5,Calo[Cân Nặng])</f>
        <v>70.607142857142861</v>
      </c>
    </row>
    <row r="126" spans="3:9" ht="15" hidden="1" x14ac:dyDescent="0.2">
      <c r="C126" s="3">
        <v>3</v>
      </c>
      <c r="D126" s="5" t="s">
        <v>138</v>
      </c>
      <c r="E126" s="7">
        <v>45049</v>
      </c>
      <c r="F126" s="4">
        <f ca="1">'Track Calo và Weight'!K7</f>
        <v>2638</v>
      </c>
      <c r="G126" s="4">
        <f ca="1">'Track Calo và Weight'!L7</f>
        <v>80</v>
      </c>
      <c r="H126" s="22">
        <f ca="1">_xlfn.AGGREGATE(1,5,Calo[Calo Intake])</f>
        <v>2552.8214285714284</v>
      </c>
      <c r="I126" s="24">
        <f ca="1">_xlfn.AGGREGATE(1,5,Calo[Cân Nặng])</f>
        <v>70.607142857142861</v>
      </c>
    </row>
    <row r="127" spans="3:9" ht="15" hidden="1" x14ac:dyDescent="0.2">
      <c r="C127" s="3">
        <v>4</v>
      </c>
      <c r="D127" s="5" t="s">
        <v>138</v>
      </c>
      <c r="E127" s="7">
        <v>45050</v>
      </c>
      <c r="F127" s="4">
        <f ca="1">'Track Calo và Weight'!K8</f>
        <v>2936</v>
      </c>
      <c r="G127" s="4">
        <f ca="1">'Track Calo và Weight'!L8</f>
        <v>74</v>
      </c>
      <c r="H127" s="22">
        <f ca="1">_xlfn.AGGREGATE(1,5,Calo[Calo Intake])</f>
        <v>2552.8214285714284</v>
      </c>
      <c r="I127" s="24">
        <f ca="1">_xlfn.AGGREGATE(1,5,Calo[Cân Nặng])</f>
        <v>70.607142857142861</v>
      </c>
    </row>
    <row r="128" spans="3:9" ht="15" hidden="1" x14ac:dyDescent="0.2">
      <c r="C128" s="3">
        <v>5</v>
      </c>
      <c r="D128" s="5" t="s">
        <v>138</v>
      </c>
      <c r="E128" s="7">
        <v>45051</v>
      </c>
      <c r="F128" s="4">
        <f ca="1">'Track Calo và Weight'!K9</f>
        <v>2093</v>
      </c>
      <c r="G128" s="4">
        <f ca="1">'Track Calo và Weight'!L9</f>
        <v>66</v>
      </c>
      <c r="H128" s="22">
        <f ca="1">_xlfn.AGGREGATE(1,5,Calo[Calo Intake])</f>
        <v>2552.8214285714284</v>
      </c>
      <c r="I128" s="24">
        <f ca="1">_xlfn.AGGREGATE(1,5,Calo[Cân Nặng])</f>
        <v>70.607142857142861</v>
      </c>
    </row>
    <row r="129" spans="3:9" ht="15" hidden="1" x14ac:dyDescent="0.2">
      <c r="C129" s="3">
        <v>6</v>
      </c>
      <c r="D129" s="5" t="s">
        <v>138</v>
      </c>
      <c r="E129" s="7">
        <v>45052</v>
      </c>
      <c r="F129" s="4">
        <f ca="1">'Track Calo và Weight'!K10</f>
        <v>2357</v>
      </c>
      <c r="G129" s="4">
        <f ca="1">'Track Calo và Weight'!L10</f>
        <v>72</v>
      </c>
      <c r="H129" s="22">
        <f ca="1">_xlfn.AGGREGATE(1,5,Calo[Calo Intake])</f>
        <v>2552.8214285714284</v>
      </c>
      <c r="I129" s="24">
        <f ca="1">_xlfn.AGGREGATE(1,5,Calo[Cân Nặng])</f>
        <v>70.607142857142861</v>
      </c>
    </row>
    <row r="130" spans="3:9" ht="15" hidden="1" x14ac:dyDescent="0.2">
      <c r="C130" s="3">
        <v>7</v>
      </c>
      <c r="D130" s="5" t="s">
        <v>138</v>
      </c>
      <c r="E130" s="7">
        <v>45053</v>
      </c>
      <c r="F130" s="4">
        <f ca="1">'Track Calo và Weight'!K11</f>
        <v>2063</v>
      </c>
      <c r="G130" s="4">
        <f ca="1">'Track Calo và Weight'!L11</f>
        <v>67</v>
      </c>
      <c r="H130" s="22">
        <f ca="1">_xlfn.AGGREGATE(1,5,Calo[Calo Intake])</f>
        <v>2552.8214285714284</v>
      </c>
      <c r="I130" s="24">
        <f ca="1">_xlfn.AGGREGATE(1,5,Calo[Cân Nặng])</f>
        <v>70.607142857142861</v>
      </c>
    </row>
    <row r="131" spans="3:9" ht="15" hidden="1" x14ac:dyDescent="0.2">
      <c r="C131" s="3">
        <v>8</v>
      </c>
      <c r="D131" s="5" t="s">
        <v>138</v>
      </c>
      <c r="E131" s="7">
        <v>45054</v>
      </c>
      <c r="F131" s="4">
        <f ca="1">'Track Calo và Weight'!K12</f>
        <v>2884</v>
      </c>
      <c r="G131" s="4">
        <f ca="1">'Track Calo và Weight'!L12</f>
        <v>68</v>
      </c>
      <c r="H131" s="22">
        <f ca="1">_xlfn.AGGREGATE(1,5,Calo[Calo Intake])</f>
        <v>2552.8214285714284</v>
      </c>
      <c r="I131" s="24">
        <f ca="1">_xlfn.AGGREGATE(1,5,Calo[Cân Nặng])</f>
        <v>70.607142857142861</v>
      </c>
    </row>
    <row r="132" spans="3:9" ht="15" hidden="1" x14ac:dyDescent="0.2">
      <c r="C132" s="3">
        <v>9</v>
      </c>
      <c r="D132" s="5" t="s">
        <v>138</v>
      </c>
      <c r="E132" s="7">
        <v>45055</v>
      </c>
      <c r="F132" s="4">
        <f ca="1">'Track Calo và Weight'!K13</f>
        <v>2094</v>
      </c>
      <c r="G132" s="4">
        <f ca="1">'Track Calo và Weight'!L13</f>
        <v>78</v>
      </c>
      <c r="H132" s="22">
        <f ca="1">_xlfn.AGGREGATE(1,5,Calo[Calo Intake])</f>
        <v>2552.8214285714284</v>
      </c>
      <c r="I132" s="24">
        <f ca="1">_xlfn.AGGREGATE(1,5,Calo[Cân Nặng])</f>
        <v>70.607142857142861</v>
      </c>
    </row>
    <row r="133" spans="3:9" ht="15" hidden="1" x14ac:dyDescent="0.2">
      <c r="C133" s="3">
        <v>10</v>
      </c>
      <c r="D133" s="5" t="s">
        <v>138</v>
      </c>
      <c r="E133" s="7">
        <v>45056</v>
      </c>
      <c r="F133" s="4">
        <f ca="1">'Track Calo và Weight'!K14</f>
        <v>2063</v>
      </c>
      <c r="G133" s="4">
        <f ca="1">'Track Calo và Weight'!L14</f>
        <v>61</v>
      </c>
      <c r="H133" s="22">
        <f ca="1">_xlfn.AGGREGATE(1,5,Calo[Calo Intake])</f>
        <v>2552.8214285714284</v>
      </c>
      <c r="I133" s="24">
        <f ca="1">_xlfn.AGGREGATE(1,5,Calo[Cân Nặng])</f>
        <v>70.607142857142861</v>
      </c>
    </row>
    <row r="134" spans="3:9" ht="15" hidden="1" x14ac:dyDescent="0.2">
      <c r="C134" s="3">
        <v>11</v>
      </c>
      <c r="D134" s="5" t="s">
        <v>138</v>
      </c>
      <c r="E134" s="7">
        <v>45057</v>
      </c>
      <c r="F134" s="4">
        <f ca="1">'Track Calo và Weight'!K15</f>
        <v>2791</v>
      </c>
      <c r="G134" s="4">
        <f ca="1">'Track Calo và Weight'!L15</f>
        <v>77</v>
      </c>
      <c r="H134" s="22">
        <f ca="1">_xlfn.AGGREGATE(1,5,Calo[Calo Intake])</f>
        <v>2552.8214285714284</v>
      </c>
      <c r="I134" s="24">
        <f ca="1">_xlfn.AGGREGATE(1,5,Calo[Cân Nặng])</f>
        <v>70.607142857142861</v>
      </c>
    </row>
    <row r="135" spans="3:9" ht="15" hidden="1" x14ac:dyDescent="0.2">
      <c r="C135" s="3">
        <v>12</v>
      </c>
      <c r="D135" s="5" t="s">
        <v>138</v>
      </c>
      <c r="E135" s="7">
        <v>45058</v>
      </c>
      <c r="F135" s="4">
        <f ca="1">'Track Calo và Weight'!K16</f>
        <v>2078</v>
      </c>
      <c r="G135" s="4">
        <f ca="1">'Track Calo và Weight'!L16</f>
        <v>61</v>
      </c>
      <c r="H135" s="22">
        <f ca="1">_xlfn.AGGREGATE(1,5,Calo[Calo Intake])</f>
        <v>2552.8214285714284</v>
      </c>
      <c r="I135" s="24">
        <f ca="1">_xlfn.AGGREGATE(1,5,Calo[Cân Nặng])</f>
        <v>70.607142857142861</v>
      </c>
    </row>
    <row r="136" spans="3:9" ht="15" hidden="1" x14ac:dyDescent="0.2">
      <c r="C136" s="3">
        <v>13</v>
      </c>
      <c r="D136" s="5" t="s">
        <v>138</v>
      </c>
      <c r="E136" s="7">
        <v>45059</v>
      </c>
      <c r="F136" s="4">
        <f ca="1">'Track Calo và Weight'!K17</f>
        <v>2378</v>
      </c>
      <c r="G136" s="4">
        <f ca="1">'Track Calo và Weight'!L17</f>
        <v>69</v>
      </c>
      <c r="H136" s="22">
        <f ca="1">_xlfn.AGGREGATE(1,5,Calo[Calo Intake])</f>
        <v>2552.8214285714284</v>
      </c>
      <c r="I136" s="24">
        <f ca="1">_xlfn.AGGREGATE(1,5,Calo[Cân Nặng])</f>
        <v>70.607142857142861</v>
      </c>
    </row>
    <row r="137" spans="3:9" ht="15" hidden="1" x14ac:dyDescent="0.2">
      <c r="C137" s="3">
        <v>14</v>
      </c>
      <c r="D137" s="5" t="s">
        <v>138</v>
      </c>
      <c r="E137" s="7">
        <v>45060</v>
      </c>
      <c r="F137" s="4">
        <f ca="1">'Track Calo và Weight'!K18</f>
        <v>2188</v>
      </c>
      <c r="G137" s="4">
        <f ca="1">'Track Calo và Weight'!L18</f>
        <v>60</v>
      </c>
      <c r="H137" s="22">
        <f ca="1">_xlfn.AGGREGATE(1,5,Calo[Calo Intake])</f>
        <v>2552.8214285714284</v>
      </c>
      <c r="I137" s="24">
        <f ca="1">_xlfn.AGGREGATE(1,5,Calo[Cân Nặng])</f>
        <v>70.607142857142861</v>
      </c>
    </row>
    <row r="138" spans="3:9" ht="15" hidden="1" x14ac:dyDescent="0.2">
      <c r="C138" s="3">
        <v>15</v>
      </c>
      <c r="D138" s="5" t="s">
        <v>138</v>
      </c>
      <c r="E138" s="7">
        <v>45061</v>
      </c>
      <c r="F138" s="4">
        <f ca="1">'Track Calo và Weight'!K19</f>
        <v>2524</v>
      </c>
      <c r="G138" s="4">
        <f ca="1">'Track Calo và Weight'!L19</f>
        <v>79</v>
      </c>
      <c r="H138" s="22">
        <f ca="1">_xlfn.AGGREGATE(1,5,Calo[Calo Intake])</f>
        <v>2552.8214285714284</v>
      </c>
      <c r="I138" s="24">
        <f ca="1">_xlfn.AGGREGATE(1,5,Calo[Cân Nặng])</f>
        <v>70.607142857142861</v>
      </c>
    </row>
    <row r="139" spans="3:9" ht="15" hidden="1" x14ac:dyDescent="0.2">
      <c r="C139" s="3">
        <v>16</v>
      </c>
      <c r="D139" s="5" t="s">
        <v>138</v>
      </c>
      <c r="E139" s="7">
        <v>45062</v>
      </c>
      <c r="F139" s="4">
        <f ca="1">'Track Calo và Weight'!K20</f>
        <v>2311</v>
      </c>
      <c r="G139" s="4">
        <f ca="1">'Track Calo và Weight'!L20</f>
        <v>72</v>
      </c>
      <c r="H139" s="22">
        <f ca="1">_xlfn.AGGREGATE(1,5,Calo[Calo Intake])</f>
        <v>2552.8214285714284</v>
      </c>
      <c r="I139" s="24">
        <f ca="1">_xlfn.AGGREGATE(1,5,Calo[Cân Nặng])</f>
        <v>70.607142857142861</v>
      </c>
    </row>
    <row r="140" spans="3:9" ht="15" hidden="1" x14ac:dyDescent="0.2">
      <c r="C140" s="3">
        <v>17</v>
      </c>
      <c r="D140" s="5" t="s">
        <v>138</v>
      </c>
      <c r="E140" s="7">
        <v>45063</v>
      </c>
      <c r="F140" s="4">
        <f ca="1">'Track Calo và Weight'!K21</f>
        <v>2781</v>
      </c>
      <c r="G140" s="4">
        <f ca="1">'Track Calo và Weight'!L21</f>
        <v>68</v>
      </c>
      <c r="H140" s="22">
        <f ca="1">_xlfn.AGGREGATE(1,5,Calo[Calo Intake])</f>
        <v>2552.8214285714284</v>
      </c>
      <c r="I140" s="24">
        <f ca="1">_xlfn.AGGREGATE(1,5,Calo[Cân Nặng])</f>
        <v>70.607142857142861</v>
      </c>
    </row>
    <row r="141" spans="3:9" ht="15" hidden="1" x14ac:dyDescent="0.2">
      <c r="C141" s="3">
        <v>18</v>
      </c>
      <c r="D141" s="5" t="s">
        <v>138</v>
      </c>
      <c r="E141" s="7">
        <v>45064</v>
      </c>
      <c r="F141" s="4">
        <f ca="1">'Track Calo và Weight'!K22</f>
        <v>2134</v>
      </c>
      <c r="G141" s="4">
        <f ca="1">'Track Calo và Weight'!L22</f>
        <v>69</v>
      </c>
      <c r="H141" s="22">
        <f ca="1">_xlfn.AGGREGATE(1,5,Calo[Calo Intake])</f>
        <v>2552.8214285714284</v>
      </c>
      <c r="I141" s="24">
        <f ca="1">_xlfn.AGGREGATE(1,5,Calo[Cân Nặng])</f>
        <v>70.607142857142861</v>
      </c>
    </row>
    <row r="142" spans="3:9" ht="15" hidden="1" x14ac:dyDescent="0.2">
      <c r="C142" s="3">
        <v>19</v>
      </c>
      <c r="D142" s="5" t="s">
        <v>138</v>
      </c>
      <c r="E142" s="7">
        <v>45065</v>
      </c>
      <c r="F142" s="4">
        <f ca="1">'Track Calo và Weight'!K23</f>
        <v>2048</v>
      </c>
      <c r="G142" s="4">
        <f ca="1">'Track Calo và Weight'!L23</f>
        <v>70</v>
      </c>
      <c r="H142" s="22">
        <f ca="1">_xlfn.AGGREGATE(1,5,Calo[Calo Intake])</f>
        <v>2552.8214285714284</v>
      </c>
      <c r="I142" s="24">
        <f ca="1">_xlfn.AGGREGATE(1,5,Calo[Cân Nặng])</f>
        <v>70.607142857142861</v>
      </c>
    </row>
    <row r="143" spans="3:9" ht="15" hidden="1" x14ac:dyDescent="0.2">
      <c r="C143" s="3">
        <v>20</v>
      </c>
      <c r="D143" s="5" t="s">
        <v>138</v>
      </c>
      <c r="E143" s="7">
        <v>45066</v>
      </c>
      <c r="F143" s="4">
        <f ca="1">'Track Calo và Weight'!K24</f>
        <v>2576</v>
      </c>
      <c r="G143" s="4">
        <f ca="1">'Track Calo và Weight'!L24</f>
        <v>63</v>
      </c>
      <c r="H143" s="22">
        <f ca="1">_xlfn.AGGREGATE(1,5,Calo[Calo Intake])</f>
        <v>2552.8214285714284</v>
      </c>
      <c r="I143" s="24">
        <f ca="1">_xlfn.AGGREGATE(1,5,Calo[Cân Nặng])</f>
        <v>70.607142857142861</v>
      </c>
    </row>
    <row r="144" spans="3:9" ht="15" hidden="1" x14ac:dyDescent="0.2">
      <c r="C144" s="3">
        <v>21</v>
      </c>
      <c r="D144" s="5" t="s">
        <v>138</v>
      </c>
      <c r="E144" s="7">
        <v>45067</v>
      </c>
      <c r="F144" s="4">
        <f ca="1">'Track Calo và Weight'!K25</f>
        <v>2858</v>
      </c>
      <c r="G144" s="4">
        <f ca="1">'Track Calo và Weight'!L25</f>
        <v>79</v>
      </c>
      <c r="H144" s="22">
        <f ca="1">_xlfn.AGGREGATE(1,5,Calo[Calo Intake])</f>
        <v>2552.8214285714284</v>
      </c>
      <c r="I144" s="24">
        <f ca="1">_xlfn.AGGREGATE(1,5,Calo[Cân Nặng])</f>
        <v>70.607142857142861</v>
      </c>
    </row>
    <row r="145" spans="3:9" ht="15" hidden="1" x14ac:dyDescent="0.2">
      <c r="C145" s="3">
        <v>22</v>
      </c>
      <c r="D145" s="5" t="s">
        <v>138</v>
      </c>
      <c r="E145" s="7">
        <v>45068</v>
      </c>
      <c r="F145" s="4">
        <f ca="1">'Track Calo và Weight'!K26</f>
        <v>2169</v>
      </c>
      <c r="G145" s="4">
        <f ca="1">'Track Calo và Weight'!L26</f>
        <v>62</v>
      </c>
      <c r="H145" s="22">
        <f ca="1">_xlfn.AGGREGATE(1,5,Calo[Calo Intake])</f>
        <v>2552.8214285714284</v>
      </c>
      <c r="I145" s="24">
        <f ca="1">_xlfn.AGGREGATE(1,5,Calo[Cân Nặng])</f>
        <v>70.607142857142861</v>
      </c>
    </row>
    <row r="146" spans="3:9" ht="15" hidden="1" x14ac:dyDescent="0.2">
      <c r="C146" s="3">
        <v>23</v>
      </c>
      <c r="D146" s="5" t="s">
        <v>138</v>
      </c>
      <c r="E146" s="7">
        <v>45069</v>
      </c>
      <c r="F146" s="4">
        <f ca="1">'Track Calo và Weight'!K27</f>
        <v>2033</v>
      </c>
      <c r="G146" s="4">
        <f ca="1">'Track Calo và Weight'!L27</f>
        <v>79</v>
      </c>
      <c r="H146" s="22">
        <f ca="1">_xlfn.AGGREGATE(1,5,Calo[Calo Intake])</f>
        <v>2552.8214285714284</v>
      </c>
      <c r="I146" s="24">
        <f ca="1">_xlfn.AGGREGATE(1,5,Calo[Cân Nặng])</f>
        <v>70.607142857142861</v>
      </c>
    </row>
    <row r="147" spans="3:9" ht="15" hidden="1" x14ac:dyDescent="0.2">
      <c r="C147" s="3">
        <v>24</v>
      </c>
      <c r="D147" s="5" t="s">
        <v>138</v>
      </c>
      <c r="E147" s="7">
        <v>45070</v>
      </c>
      <c r="F147" s="4">
        <f ca="1">'Track Calo và Weight'!K28</f>
        <v>2653</v>
      </c>
      <c r="G147" s="4">
        <f ca="1">'Track Calo và Weight'!L28</f>
        <v>62</v>
      </c>
      <c r="H147" s="22">
        <f ca="1">_xlfn.AGGREGATE(1,5,Calo[Calo Intake])</f>
        <v>2552.8214285714284</v>
      </c>
      <c r="I147" s="24">
        <f ca="1">_xlfn.AGGREGATE(1,5,Calo[Cân Nặng])</f>
        <v>70.607142857142861</v>
      </c>
    </row>
    <row r="148" spans="3:9" ht="15" hidden="1" x14ac:dyDescent="0.2">
      <c r="C148" s="3">
        <v>25</v>
      </c>
      <c r="D148" s="5" t="s">
        <v>138</v>
      </c>
      <c r="E148" s="7">
        <v>45071</v>
      </c>
      <c r="F148" s="4">
        <f ca="1">'Track Calo và Weight'!K29</f>
        <v>2679</v>
      </c>
      <c r="G148" s="4">
        <f ca="1">'Track Calo và Weight'!L29</f>
        <v>64</v>
      </c>
      <c r="H148" s="22">
        <f ca="1">_xlfn.AGGREGATE(1,5,Calo[Calo Intake])</f>
        <v>2552.8214285714284</v>
      </c>
      <c r="I148" s="24">
        <f ca="1">_xlfn.AGGREGATE(1,5,Calo[Cân Nặng])</f>
        <v>70.607142857142861</v>
      </c>
    </row>
    <row r="149" spans="3:9" ht="15" hidden="1" x14ac:dyDescent="0.2">
      <c r="C149" s="3">
        <v>26</v>
      </c>
      <c r="D149" s="5" t="s">
        <v>138</v>
      </c>
      <c r="E149" s="7">
        <v>45072</v>
      </c>
      <c r="F149" s="4">
        <f ca="1">'Track Calo và Weight'!K30</f>
        <v>2569</v>
      </c>
      <c r="G149" s="4">
        <f ca="1">'Track Calo và Weight'!L30</f>
        <v>73</v>
      </c>
      <c r="H149" s="22">
        <f ca="1">_xlfn.AGGREGATE(1,5,Calo[Calo Intake])</f>
        <v>2552.8214285714284</v>
      </c>
      <c r="I149" s="24">
        <f ca="1">_xlfn.AGGREGATE(1,5,Calo[Cân Nặng])</f>
        <v>70.607142857142861</v>
      </c>
    </row>
    <row r="150" spans="3:9" ht="15" hidden="1" x14ac:dyDescent="0.2">
      <c r="C150" s="3">
        <v>27</v>
      </c>
      <c r="D150" s="5" t="s">
        <v>138</v>
      </c>
      <c r="E150" s="7">
        <v>45073</v>
      </c>
      <c r="F150" s="4">
        <f ca="1">'Track Calo và Weight'!K31</f>
        <v>2845</v>
      </c>
      <c r="G150" s="4">
        <f ca="1">'Track Calo và Weight'!L31</f>
        <v>77</v>
      </c>
      <c r="H150" s="22">
        <f ca="1">_xlfn.AGGREGATE(1,5,Calo[Calo Intake])</f>
        <v>2552.8214285714284</v>
      </c>
      <c r="I150" s="24">
        <f ca="1">_xlfn.AGGREGATE(1,5,Calo[Cân Nặng])</f>
        <v>70.607142857142861</v>
      </c>
    </row>
    <row r="151" spans="3:9" ht="15" hidden="1" x14ac:dyDescent="0.2">
      <c r="C151" s="3">
        <v>28</v>
      </c>
      <c r="D151" s="5" t="s">
        <v>138</v>
      </c>
      <c r="E151" s="7">
        <v>45074</v>
      </c>
      <c r="F151" s="4">
        <f ca="1">'Track Calo và Weight'!K32</f>
        <v>2668</v>
      </c>
      <c r="G151" s="4">
        <f ca="1">'Track Calo và Weight'!L32</f>
        <v>64</v>
      </c>
      <c r="H151" s="22">
        <f ca="1">_xlfn.AGGREGATE(1,5,Calo[Calo Intake])</f>
        <v>2552.8214285714284</v>
      </c>
      <c r="I151" s="24">
        <f ca="1">_xlfn.AGGREGATE(1,5,Calo[Cân Nặng])</f>
        <v>70.607142857142861</v>
      </c>
    </row>
    <row r="152" spans="3:9" ht="15" hidden="1" x14ac:dyDescent="0.2">
      <c r="C152" s="3">
        <v>29</v>
      </c>
      <c r="D152" s="4" t="s">
        <v>138</v>
      </c>
      <c r="E152" s="26">
        <v>45075</v>
      </c>
      <c r="F152" s="3">
        <f ca="1">'Track Calo và Weight'!K33</f>
        <v>2866</v>
      </c>
      <c r="G152" s="4">
        <f ca="1">'Track Calo và Weight'!L33</f>
        <v>72</v>
      </c>
      <c r="H152" s="22">
        <f ca="1">_xlfn.AGGREGATE(1,5,Calo[Calo Intake])</f>
        <v>2552.8214285714284</v>
      </c>
      <c r="I152" s="24">
        <f ca="1">_xlfn.AGGREGATE(1,5,Calo[Cân Nặng])</f>
        <v>70.607142857142861</v>
      </c>
    </row>
    <row r="153" spans="3:9" ht="15" hidden="1" x14ac:dyDescent="0.2">
      <c r="C153" s="3">
        <v>30</v>
      </c>
      <c r="D153" s="5" t="s">
        <v>138</v>
      </c>
      <c r="E153" s="7">
        <v>45076</v>
      </c>
      <c r="F153" s="4">
        <f ca="1">'Track Calo và Weight'!K34</f>
        <v>2941</v>
      </c>
      <c r="G153" s="4">
        <f ca="1">'Track Calo và Weight'!L34</f>
        <v>67</v>
      </c>
      <c r="H153" s="22">
        <f ca="1">_xlfn.AGGREGATE(1,5,Calo[Calo Intake])</f>
        <v>2552.8214285714284</v>
      </c>
      <c r="I153" s="24">
        <f ca="1">_xlfn.AGGREGATE(1,5,Calo[Cân Nặng])</f>
        <v>70.607142857142861</v>
      </c>
    </row>
    <row r="154" spans="3:9" ht="15.75" hidden="1" thickBot="1" x14ac:dyDescent="0.25">
      <c r="C154" s="16">
        <v>31</v>
      </c>
      <c r="D154" s="17" t="s">
        <v>138</v>
      </c>
      <c r="E154" s="18">
        <v>45077</v>
      </c>
      <c r="F154" s="19">
        <f ca="1">'Track Calo và Weight'!K35</f>
        <v>2245</v>
      </c>
      <c r="G154" s="19">
        <f ca="1">'Track Calo và Weight'!L35</f>
        <v>72</v>
      </c>
      <c r="H154" s="22">
        <f ca="1">_xlfn.AGGREGATE(1,5,Calo[Calo Intake])</f>
        <v>2552.8214285714284</v>
      </c>
      <c r="I154" s="24">
        <f ca="1">_xlfn.AGGREGATE(1,5,Calo[Cân Nặng])</f>
        <v>70.607142857142861</v>
      </c>
    </row>
    <row r="155" spans="3:9" ht="15" hidden="1" x14ac:dyDescent="0.2">
      <c r="C155" s="12">
        <v>1</v>
      </c>
      <c r="D155" s="13" t="s">
        <v>139</v>
      </c>
      <c r="E155" s="14">
        <v>45078</v>
      </c>
      <c r="F155" s="15">
        <f ca="1">'Track Calo và Weight'!M5</f>
        <v>2467</v>
      </c>
      <c r="G155" s="15">
        <f ca="1">'Track Calo và Weight'!N5</f>
        <v>80</v>
      </c>
      <c r="H155" s="22">
        <f ca="1">_xlfn.AGGREGATE(1,5,Calo[Calo Intake])</f>
        <v>2552.8214285714284</v>
      </c>
      <c r="I155" s="24">
        <f ca="1">_xlfn.AGGREGATE(1,5,Calo[Cân Nặng])</f>
        <v>70.607142857142861</v>
      </c>
    </row>
    <row r="156" spans="3:9" ht="15" hidden="1" x14ac:dyDescent="0.2">
      <c r="C156" s="3">
        <v>2</v>
      </c>
      <c r="D156" s="5" t="s">
        <v>139</v>
      </c>
      <c r="E156" s="7">
        <v>45079</v>
      </c>
      <c r="F156" s="4">
        <f ca="1">'Track Calo và Weight'!M6</f>
        <v>2012</v>
      </c>
      <c r="G156" s="4">
        <f ca="1">'Track Calo và Weight'!N6</f>
        <v>64</v>
      </c>
      <c r="H156" s="22">
        <f ca="1">_xlfn.AGGREGATE(1,5,Calo[Calo Intake])</f>
        <v>2552.8214285714284</v>
      </c>
      <c r="I156" s="24">
        <f ca="1">_xlfn.AGGREGATE(1,5,Calo[Cân Nặng])</f>
        <v>70.607142857142861</v>
      </c>
    </row>
    <row r="157" spans="3:9" ht="15" hidden="1" x14ac:dyDescent="0.2">
      <c r="C157" s="3">
        <v>3</v>
      </c>
      <c r="D157" s="5" t="s">
        <v>139</v>
      </c>
      <c r="E157" s="7">
        <v>45080</v>
      </c>
      <c r="F157" s="4">
        <f ca="1">'Track Calo và Weight'!M7</f>
        <v>2612</v>
      </c>
      <c r="G157" s="4">
        <f ca="1">'Track Calo và Weight'!N7</f>
        <v>75</v>
      </c>
      <c r="H157" s="22">
        <f ca="1">_xlfn.AGGREGATE(1,5,Calo[Calo Intake])</f>
        <v>2552.8214285714284</v>
      </c>
      <c r="I157" s="24">
        <f ca="1">_xlfn.AGGREGATE(1,5,Calo[Cân Nặng])</f>
        <v>70.607142857142861</v>
      </c>
    </row>
    <row r="158" spans="3:9" ht="15" hidden="1" x14ac:dyDescent="0.2">
      <c r="C158" s="3">
        <v>4</v>
      </c>
      <c r="D158" s="5" t="s">
        <v>139</v>
      </c>
      <c r="E158" s="7">
        <v>45081</v>
      </c>
      <c r="F158" s="4">
        <f ca="1">'Track Calo và Weight'!M8</f>
        <v>2820</v>
      </c>
      <c r="G158" s="4">
        <f ca="1">'Track Calo và Weight'!N8</f>
        <v>70</v>
      </c>
      <c r="H158" s="22">
        <f ca="1">_xlfn.AGGREGATE(1,5,Calo[Calo Intake])</f>
        <v>2552.8214285714284</v>
      </c>
      <c r="I158" s="24">
        <f ca="1">_xlfn.AGGREGATE(1,5,Calo[Cân Nặng])</f>
        <v>70.607142857142861</v>
      </c>
    </row>
    <row r="159" spans="3:9" ht="15" hidden="1" x14ac:dyDescent="0.2">
      <c r="C159" s="3">
        <v>5</v>
      </c>
      <c r="D159" s="5" t="s">
        <v>139</v>
      </c>
      <c r="E159" s="7">
        <v>45082</v>
      </c>
      <c r="F159" s="4">
        <f ca="1">'Track Calo và Weight'!M9</f>
        <v>2176</v>
      </c>
      <c r="G159" s="4">
        <f ca="1">'Track Calo và Weight'!N9</f>
        <v>67</v>
      </c>
      <c r="H159" s="22">
        <f ca="1">_xlfn.AGGREGATE(1,5,Calo[Calo Intake])</f>
        <v>2552.8214285714284</v>
      </c>
      <c r="I159" s="24">
        <f ca="1">_xlfn.AGGREGATE(1,5,Calo[Cân Nặng])</f>
        <v>70.607142857142861</v>
      </c>
    </row>
    <row r="160" spans="3:9" ht="15" hidden="1" x14ac:dyDescent="0.2">
      <c r="C160" s="3">
        <v>6</v>
      </c>
      <c r="D160" s="5" t="s">
        <v>139</v>
      </c>
      <c r="E160" s="7">
        <v>45083</v>
      </c>
      <c r="F160" s="4">
        <f ca="1">'Track Calo và Weight'!M10</f>
        <v>2611</v>
      </c>
      <c r="G160" s="4">
        <f ca="1">'Track Calo và Weight'!N10</f>
        <v>61</v>
      </c>
      <c r="H160" s="22">
        <f ca="1">_xlfn.AGGREGATE(1,5,Calo[Calo Intake])</f>
        <v>2552.8214285714284</v>
      </c>
      <c r="I160" s="24">
        <f ca="1">_xlfn.AGGREGATE(1,5,Calo[Cân Nặng])</f>
        <v>70.607142857142861</v>
      </c>
    </row>
    <row r="161" spans="3:9" ht="15" hidden="1" x14ac:dyDescent="0.2">
      <c r="C161" s="3">
        <v>7</v>
      </c>
      <c r="D161" s="5" t="s">
        <v>139</v>
      </c>
      <c r="E161" s="7">
        <v>45084</v>
      </c>
      <c r="F161" s="4">
        <f ca="1">'Track Calo và Weight'!M11</f>
        <v>2586</v>
      </c>
      <c r="G161" s="4">
        <f ca="1">'Track Calo và Weight'!N11</f>
        <v>78</v>
      </c>
      <c r="H161" s="22">
        <f ca="1">_xlfn.AGGREGATE(1,5,Calo[Calo Intake])</f>
        <v>2552.8214285714284</v>
      </c>
      <c r="I161" s="24">
        <f ca="1">_xlfn.AGGREGATE(1,5,Calo[Cân Nặng])</f>
        <v>70.607142857142861</v>
      </c>
    </row>
    <row r="162" spans="3:9" ht="15" hidden="1" x14ac:dyDescent="0.2">
      <c r="C162" s="3">
        <v>8</v>
      </c>
      <c r="D162" s="5" t="s">
        <v>139</v>
      </c>
      <c r="E162" s="7">
        <v>45085</v>
      </c>
      <c r="F162" s="4">
        <f ca="1">'Track Calo và Weight'!M12</f>
        <v>2717</v>
      </c>
      <c r="G162" s="4">
        <f ca="1">'Track Calo và Weight'!N12</f>
        <v>70</v>
      </c>
      <c r="H162" s="22">
        <f ca="1">_xlfn.AGGREGATE(1,5,Calo[Calo Intake])</f>
        <v>2552.8214285714284</v>
      </c>
      <c r="I162" s="24">
        <f ca="1">_xlfn.AGGREGATE(1,5,Calo[Cân Nặng])</f>
        <v>70.607142857142861</v>
      </c>
    </row>
    <row r="163" spans="3:9" ht="15" hidden="1" x14ac:dyDescent="0.2">
      <c r="C163" s="3">
        <v>9</v>
      </c>
      <c r="D163" s="5" t="s">
        <v>139</v>
      </c>
      <c r="E163" s="7">
        <v>45086</v>
      </c>
      <c r="F163" s="4">
        <f ca="1">'Track Calo và Weight'!M13</f>
        <v>2126</v>
      </c>
      <c r="G163" s="4">
        <f ca="1">'Track Calo và Weight'!N13</f>
        <v>65</v>
      </c>
      <c r="H163" s="22">
        <f ca="1">_xlfn.AGGREGATE(1,5,Calo[Calo Intake])</f>
        <v>2552.8214285714284</v>
      </c>
      <c r="I163" s="24">
        <f ca="1">_xlfn.AGGREGATE(1,5,Calo[Cân Nặng])</f>
        <v>70.607142857142861</v>
      </c>
    </row>
    <row r="164" spans="3:9" ht="15" hidden="1" x14ac:dyDescent="0.2">
      <c r="C164" s="3">
        <v>10</v>
      </c>
      <c r="D164" s="5" t="s">
        <v>139</v>
      </c>
      <c r="E164" s="7">
        <v>45087</v>
      </c>
      <c r="F164" s="4">
        <f ca="1">'Track Calo và Weight'!M14</f>
        <v>2429</v>
      </c>
      <c r="G164" s="4">
        <f ca="1">'Track Calo và Weight'!N14</f>
        <v>79</v>
      </c>
      <c r="H164" s="22">
        <f ca="1">_xlfn.AGGREGATE(1,5,Calo[Calo Intake])</f>
        <v>2552.8214285714284</v>
      </c>
      <c r="I164" s="24">
        <f ca="1">_xlfn.AGGREGATE(1,5,Calo[Cân Nặng])</f>
        <v>70.607142857142861</v>
      </c>
    </row>
    <row r="165" spans="3:9" ht="15" hidden="1" x14ac:dyDescent="0.2">
      <c r="C165" s="3">
        <v>11</v>
      </c>
      <c r="D165" s="5" t="s">
        <v>139</v>
      </c>
      <c r="E165" s="7">
        <v>45088</v>
      </c>
      <c r="F165" s="4">
        <f ca="1">'Track Calo và Weight'!M15</f>
        <v>2404</v>
      </c>
      <c r="G165" s="4">
        <f ca="1">'Track Calo và Weight'!N15</f>
        <v>64</v>
      </c>
      <c r="H165" s="22">
        <f ca="1">_xlfn.AGGREGATE(1,5,Calo[Calo Intake])</f>
        <v>2552.8214285714284</v>
      </c>
      <c r="I165" s="24">
        <f ca="1">_xlfn.AGGREGATE(1,5,Calo[Cân Nặng])</f>
        <v>70.607142857142861</v>
      </c>
    </row>
    <row r="166" spans="3:9" ht="15" hidden="1" x14ac:dyDescent="0.2">
      <c r="C166" s="3">
        <v>12</v>
      </c>
      <c r="D166" s="5" t="s">
        <v>139</v>
      </c>
      <c r="E166" s="7">
        <v>45089</v>
      </c>
      <c r="F166" s="4">
        <f ca="1">'Track Calo và Weight'!M16</f>
        <v>2085</v>
      </c>
      <c r="G166" s="4">
        <f ca="1">'Track Calo và Weight'!N16</f>
        <v>60</v>
      </c>
      <c r="H166" s="22">
        <f ca="1">_xlfn.AGGREGATE(1,5,Calo[Calo Intake])</f>
        <v>2552.8214285714284</v>
      </c>
      <c r="I166" s="24">
        <f ca="1">_xlfn.AGGREGATE(1,5,Calo[Cân Nặng])</f>
        <v>70.607142857142861</v>
      </c>
    </row>
    <row r="167" spans="3:9" ht="15" hidden="1" x14ac:dyDescent="0.2">
      <c r="C167" s="3">
        <v>13</v>
      </c>
      <c r="D167" s="5" t="s">
        <v>139</v>
      </c>
      <c r="E167" s="7">
        <v>45090</v>
      </c>
      <c r="F167" s="4">
        <f ca="1">'Track Calo và Weight'!M17</f>
        <v>2273</v>
      </c>
      <c r="G167" s="4">
        <f ca="1">'Track Calo và Weight'!N17</f>
        <v>73</v>
      </c>
      <c r="H167" s="22">
        <f ca="1">_xlfn.AGGREGATE(1,5,Calo[Calo Intake])</f>
        <v>2552.8214285714284</v>
      </c>
      <c r="I167" s="24">
        <f ca="1">_xlfn.AGGREGATE(1,5,Calo[Cân Nặng])</f>
        <v>70.607142857142861</v>
      </c>
    </row>
    <row r="168" spans="3:9" ht="15" hidden="1" x14ac:dyDescent="0.2">
      <c r="C168" s="3">
        <v>14</v>
      </c>
      <c r="D168" s="5" t="s">
        <v>139</v>
      </c>
      <c r="E168" s="7">
        <v>45091</v>
      </c>
      <c r="F168" s="4">
        <f ca="1">'Track Calo và Weight'!M18</f>
        <v>2416</v>
      </c>
      <c r="G168" s="4">
        <f ca="1">'Track Calo và Weight'!N18</f>
        <v>66</v>
      </c>
      <c r="H168" s="22">
        <f ca="1">_xlfn.AGGREGATE(1,5,Calo[Calo Intake])</f>
        <v>2552.8214285714284</v>
      </c>
      <c r="I168" s="24">
        <f ca="1">_xlfn.AGGREGATE(1,5,Calo[Cân Nặng])</f>
        <v>70.607142857142861</v>
      </c>
    </row>
    <row r="169" spans="3:9" ht="15" hidden="1" x14ac:dyDescent="0.2">
      <c r="C169" s="3">
        <v>15</v>
      </c>
      <c r="D169" s="5" t="s">
        <v>139</v>
      </c>
      <c r="E169" s="7">
        <v>45092</v>
      </c>
      <c r="F169" s="4">
        <f ca="1">'Track Calo và Weight'!M19</f>
        <v>2114</v>
      </c>
      <c r="G169" s="4">
        <f ca="1">'Track Calo và Weight'!N19</f>
        <v>72</v>
      </c>
      <c r="H169" s="22">
        <f ca="1">_xlfn.AGGREGATE(1,5,Calo[Calo Intake])</f>
        <v>2552.8214285714284</v>
      </c>
      <c r="I169" s="24">
        <f ca="1">_xlfn.AGGREGATE(1,5,Calo[Cân Nặng])</f>
        <v>70.607142857142861</v>
      </c>
    </row>
    <row r="170" spans="3:9" ht="15" hidden="1" x14ac:dyDescent="0.2">
      <c r="C170" s="3">
        <v>16</v>
      </c>
      <c r="D170" s="5" t="s">
        <v>139</v>
      </c>
      <c r="E170" s="7">
        <v>45093</v>
      </c>
      <c r="F170" s="4">
        <f ca="1">'Track Calo và Weight'!M20</f>
        <v>2607</v>
      </c>
      <c r="G170" s="4">
        <f ca="1">'Track Calo và Weight'!N20</f>
        <v>64</v>
      </c>
      <c r="H170" s="22">
        <f ca="1">_xlfn.AGGREGATE(1,5,Calo[Calo Intake])</f>
        <v>2552.8214285714284</v>
      </c>
      <c r="I170" s="24">
        <f ca="1">_xlfn.AGGREGATE(1,5,Calo[Cân Nặng])</f>
        <v>70.607142857142861</v>
      </c>
    </row>
    <row r="171" spans="3:9" ht="15" hidden="1" x14ac:dyDescent="0.2">
      <c r="C171" s="3">
        <v>17</v>
      </c>
      <c r="D171" s="5" t="s">
        <v>139</v>
      </c>
      <c r="E171" s="7">
        <v>45094</v>
      </c>
      <c r="F171" s="4">
        <f ca="1">'Track Calo và Weight'!M21</f>
        <v>2224</v>
      </c>
      <c r="G171" s="4">
        <f ca="1">'Track Calo và Weight'!N21</f>
        <v>70</v>
      </c>
      <c r="H171" s="22">
        <f ca="1">_xlfn.AGGREGATE(1,5,Calo[Calo Intake])</f>
        <v>2552.8214285714284</v>
      </c>
      <c r="I171" s="24">
        <f ca="1">_xlfn.AGGREGATE(1,5,Calo[Cân Nặng])</f>
        <v>70.607142857142861</v>
      </c>
    </row>
    <row r="172" spans="3:9" ht="15" hidden="1" x14ac:dyDescent="0.2">
      <c r="C172" s="3">
        <v>18</v>
      </c>
      <c r="D172" s="5" t="s">
        <v>139</v>
      </c>
      <c r="E172" s="7">
        <v>45095</v>
      </c>
      <c r="F172" s="4">
        <f ca="1">'Track Calo và Weight'!M22</f>
        <v>2731</v>
      </c>
      <c r="G172" s="4">
        <f ca="1">'Track Calo và Weight'!N22</f>
        <v>72</v>
      </c>
      <c r="H172" s="22">
        <f ca="1">_xlfn.AGGREGATE(1,5,Calo[Calo Intake])</f>
        <v>2552.8214285714284</v>
      </c>
      <c r="I172" s="24">
        <f ca="1">_xlfn.AGGREGATE(1,5,Calo[Cân Nặng])</f>
        <v>70.607142857142861</v>
      </c>
    </row>
    <row r="173" spans="3:9" ht="15" hidden="1" x14ac:dyDescent="0.2">
      <c r="C173" s="3">
        <v>19</v>
      </c>
      <c r="D173" s="5" t="s">
        <v>139</v>
      </c>
      <c r="E173" s="7">
        <v>45096</v>
      </c>
      <c r="F173" s="4">
        <f ca="1">'Track Calo và Weight'!M23</f>
        <v>2093</v>
      </c>
      <c r="G173" s="4">
        <f ca="1">'Track Calo và Weight'!N23</f>
        <v>80</v>
      </c>
      <c r="H173" s="22">
        <f ca="1">_xlfn.AGGREGATE(1,5,Calo[Calo Intake])</f>
        <v>2552.8214285714284</v>
      </c>
      <c r="I173" s="24">
        <f ca="1">_xlfn.AGGREGATE(1,5,Calo[Cân Nặng])</f>
        <v>70.607142857142861</v>
      </c>
    </row>
    <row r="174" spans="3:9" ht="15" hidden="1" x14ac:dyDescent="0.2">
      <c r="C174" s="3">
        <v>20</v>
      </c>
      <c r="D174" s="5" t="s">
        <v>139</v>
      </c>
      <c r="E174" s="7">
        <v>45097</v>
      </c>
      <c r="F174" s="4">
        <f ca="1">'Track Calo và Weight'!M24</f>
        <v>2030</v>
      </c>
      <c r="G174" s="4">
        <f ca="1">'Track Calo và Weight'!N24</f>
        <v>77</v>
      </c>
      <c r="H174" s="22">
        <f ca="1">_xlfn.AGGREGATE(1,5,Calo[Calo Intake])</f>
        <v>2552.8214285714284</v>
      </c>
      <c r="I174" s="24">
        <f ca="1">_xlfn.AGGREGATE(1,5,Calo[Cân Nặng])</f>
        <v>70.607142857142861</v>
      </c>
    </row>
    <row r="175" spans="3:9" ht="15" hidden="1" x14ac:dyDescent="0.2">
      <c r="C175" s="3">
        <v>21</v>
      </c>
      <c r="D175" s="5" t="s">
        <v>139</v>
      </c>
      <c r="E175" s="7">
        <v>45098</v>
      </c>
      <c r="F175" s="4">
        <f ca="1">'Track Calo và Weight'!M25</f>
        <v>2735</v>
      </c>
      <c r="G175" s="4">
        <f ca="1">'Track Calo và Weight'!N25</f>
        <v>65</v>
      </c>
      <c r="H175" s="22">
        <f ca="1">_xlfn.AGGREGATE(1,5,Calo[Calo Intake])</f>
        <v>2552.8214285714284</v>
      </c>
      <c r="I175" s="24">
        <f ca="1">_xlfn.AGGREGATE(1,5,Calo[Cân Nặng])</f>
        <v>70.607142857142861</v>
      </c>
    </row>
    <row r="176" spans="3:9" ht="15" hidden="1" x14ac:dyDescent="0.2">
      <c r="C176" s="3">
        <v>22</v>
      </c>
      <c r="D176" s="5" t="s">
        <v>139</v>
      </c>
      <c r="E176" s="7">
        <v>45099</v>
      </c>
      <c r="F176" s="4">
        <f ca="1">'Track Calo và Weight'!M26</f>
        <v>2869</v>
      </c>
      <c r="G176" s="4">
        <f ca="1">'Track Calo và Weight'!N26</f>
        <v>68</v>
      </c>
      <c r="H176" s="22">
        <f ca="1">_xlfn.AGGREGATE(1,5,Calo[Calo Intake])</f>
        <v>2552.8214285714284</v>
      </c>
      <c r="I176" s="24">
        <f ca="1">_xlfn.AGGREGATE(1,5,Calo[Cân Nặng])</f>
        <v>70.607142857142861</v>
      </c>
    </row>
    <row r="177" spans="3:9" ht="15" hidden="1" x14ac:dyDescent="0.2">
      <c r="C177" s="3">
        <v>23</v>
      </c>
      <c r="D177" s="5" t="s">
        <v>139</v>
      </c>
      <c r="E177" s="7">
        <v>45100</v>
      </c>
      <c r="F177" s="4">
        <f ca="1">'Track Calo và Weight'!M27</f>
        <v>2687</v>
      </c>
      <c r="G177" s="4">
        <f ca="1">'Track Calo và Weight'!N27</f>
        <v>79</v>
      </c>
      <c r="H177" s="22">
        <f ca="1">_xlfn.AGGREGATE(1,5,Calo[Calo Intake])</f>
        <v>2552.8214285714284</v>
      </c>
      <c r="I177" s="24">
        <f ca="1">_xlfn.AGGREGATE(1,5,Calo[Cân Nặng])</f>
        <v>70.607142857142861</v>
      </c>
    </row>
    <row r="178" spans="3:9" ht="15" hidden="1" x14ac:dyDescent="0.2">
      <c r="C178" s="3">
        <v>24</v>
      </c>
      <c r="D178" s="5" t="s">
        <v>139</v>
      </c>
      <c r="E178" s="7">
        <v>45101</v>
      </c>
      <c r="F178" s="4">
        <f ca="1">'Track Calo và Weight'!M28</f>
        <v>2586</v>
      </c>
      <c r="G178" s="4">
        <f ca="1">'Track Calo và Weight'!N28</f>
        <v>77</v>
      </c>
      <c r="H178" s="22">
        <f ca="1">_xlfn.AGGREGATE(1,5,Calo[Calo Intake])</f>
        <v>2552.8214285714284</v>
      </c>
      <c r="I178" s="24">
        <f ca="1">_xlfn.AGGREGATE(1,5,Calo[Cân Nặng])</f>
        <v>70.607142857142861</v>
      </c>
    </row>
    <row r="179" spans="3:9" ht="15" hidden="1" x14ac:dyDescent="0.2">
      <c r="C179" s="3">
        <v>25</v>
      </c>
      <c r="D179" s="5" t="s">
        <v>139</v>
      </c>
      <c r="E179" s="7">
        <v>45102</v>
      </c>
      <c r="F179" s="4">
        <f ca="1">'Track Calo và Weight'!M29</f>
        <v>2091</v>
      </c>
      <c r="G179" s="4">
        <f ca="1">'Track Calo và Weight'!N29</f>
        <v>75</v>
      </c>
      <c r="H179" s="22">
        <f ca="1">_xlfn.AGGREGATE(1,5,Calo[Calo Intake])</f>
        <v>2552.8214285714284</v>
      </c>
      <c r="I179" s="24">
        <f ca="1">_xlfn.AGGREGATE(1,5,Calo[Cân Nặng])</f>
        <v>70.607142857142861</v>
      </c>
    </row>
    <row r="180" spans="3:9" ht="15" hidden="1" x14ac:dyDescent="0.2">
      <c r="C180" s="3">
        <v>26</v>
      </c>
      <c r="D180" s="5" t="s">
        <v>139</v>
      </c>
      <c r="E180" s="7">
        <v>45103</v>
      </c>
      <c r="F180" s="4">
        <f ca="1">'Track Calo và Weight'!M30</f>
        <v>2572</v>
      </c>
      <c r="G180" s="4">
        <f ca="1">'Track Calo và Weight'!N30</f>
        <v>80</v>
      </c>
      <c r="H180" s="22">
        <f ca="1">_xlfn.AGGREGATE(1,5,Calo[Calo Intake])</f>
        <v>2552.8214285714284</v>
      </c>
      <c r="I180" s="24">
        <f ca="1">_xlfn.AGGREGATE(1,5,Calo[Cân Nặng])</f>
        <v>70.607142857142861</v>
      </c>
    </row>
    <row r="181" spans="3:9" ht="15" hidden="1" x14ac:dyDescent="0.2">
      <c r="C181" s="3">
        <v>27</v>
      </c>
      <c r="D181" s="5" t="s">
        <v>139</v>
      </c>
      <c r="E181" s="7">
        <v>45104</v>
      </c>
      <c r="F181" s="4">
        <f ca="1">'Track Calo và Weight'!M31</f>
        <v>2877</v>
      </c>
      <c r="G181" s="4">
        <f ca="1">'Track Calo và Weight'!N31</f>
        <v>77</v>
      </c>
      <c r="H181" s="22">
        <f ca="1">_xlfn.AGGREGATE(1,5,Calo[Calo Intake])</f>
        <v>2552.8214285714284</v>
      </c>
      <c r="I181" s="24">
        <f ca="1">_xlfn.AGGREGATE(1,5,Calo[Cân Nặng])</f>
        <v>70.607142857142861</v>
      </c>
    </row>
    <row r="182" spans="3:9" ht="15" hidden="1" x14ac:dyDescent="0.2">
      <c r="C182" s="3">
        <v>28</v>
      </c>
      <c r="D182" s="5" t="s">
        <v>139</v>
      </c>
      <c r="E182" s="7">
        <v>45105</v>
      </c>
      <c r="F182" s="4">
        <f ca="1">'Track Calo và Weight'!M32</f>
        <v>2792</v>
      </c>
      <c r="G182" s="4">
        <f ca="1">'Track Calo và Weight'!N32</f>
        <v>67</v>
      </c>
      <c r="H182" s="22">
        <f ca="1">_xlfn.AGGREGATE(1,5,Calo[Calo Intake])</f>
        <v>2552.8214285714284</v>
      </c>
      <c r="I182" s="24">
        <f ca="1">_xlfn.AGGREGATE(1,5,Calo[Cân Nặng])</f>
        <v>70.607142857142861</v>
      </c>
    </row>
    <row r="183" spans="3:9" ht="15" hidden="1" x14ac:dyDescent="0.2">
      <c r="C183" s="3">
        <v>29</v>
      </c>
      <c r="D183" s="5" t="s">
        <v>139</v>
      </c>
      <c r="E183" s="7">
        <v>45106</v>
      </c>
      <c r="F183" s="4">
        <f ca="1">'Track Calo và Weight'!M33</f>
        <v>2878</v>
      </c>
      <c r="G183" s="4">
        <f ca="1">'Track Calo và Weight'!N33</f>
        <v>77</v>
      </c>
      <c r="H183" s="22">
        <f ca="1">_xlfn.AGGREGATE(1,5,Calo[Calo Intake])</f>
        <v>2552.8214285714284</v>
      </c>
      <c r="I183" s="24">
        <f ca="1">_xlfn.AGGREGATE(1,5,Calo[Cân Nặng])</f>
        <v>70.607142857142861</v>
      </c>
    </row>
    <row r="184" spans="3:9" ht="15.75" hidden="1" thickBot="1" x14ac:dyDescent="0.25">
      <c r="C184" s="16">
        <v>30</v>
      </c>
      <c r="D184" s="17" t="s">
        <v>139</v>
      </c>
      <c r="E184" s="18">
        <v>45107</v>
      </c>
      <c r="F184" s="19">
        <f ca="1">'Track Calo và Weight'!M34</f>
        <v>2827</v>
      </c>
      <c r="G184" s="19">
        <f ca="1">'Track Calo và Weight'!N34</f>
        <v>62</v>
      </c>
      <c r="H184" s="22">
        <f ca="1">_xlfn.AGGREGATE(1,5,Calo[Calo Intake])</f>
        <v>2552.8214285714284</v>
      </c>
      <c r="I184" s="24">
        <f ca="1">_xlfn.AGGREGATE(1,5,Calo[Cân Nặng])</f>
        <v>70.607142857142861</v>
      </c>
    </row>
    <row r="185" spans="3:9" ht="15" hidden="1" x14ac:dyDescent="0.2">
      <c r="C185" s="12">
        <v>1</v>
      </c>
      <c r="D185" s="13" t="s">
        <v>140</v>
      </c>
      <c r="E185" s="14">
        <v>45108</v>
      </c>
      <c r="F185" s="15">
        <f ca="1">'Track Calo và Weight'!O5</f>
        <v>2157</v>
      </c>
      <c r="G185" s="15">
        <f ca="1">'Track Calo và Weight'!P5</f>
        <v>64</v>
      </c>
      <c r="H185" s="22">
        <f ca="1">_xlfn.AGGREGATE(1,5,Calo[Calo Intake])</f>
        <v>2552.8214285714284</v>
      </c>
      <c r="I185" s="24">
        <f ca="1">_xlfn.AGGREGATE(1,5,Calo[Cân Nặng])</f>
        <v>70.607142857142861</v>
      </c>
    </row>
    <row r="186" spans="3:9" ht="15" hidden="1" x14ac:dyDescent="0.2">
      <c r="C186" s="3">
        <v>2</v>
      </c>
      <c r="D186" s="5" t="s">
        <v>140</v>
      </c>
      <c r="E186" s="7">
        <v>45109</v>
      </c>
      <c r="F186" s="4">
        <f ca="1">'Track Calo và Weight'!O6</f>
        <v>2438</v>
      </c>
      <c r="G186" s="4">
        <f ca="1">'Track Calo và Weight'!P6</f>
        <v>71</v>
      </c>
      <c r="H186" s="22">
        <f ca="1">_xlfn.AGGREGATE(1,5,Calo[Calo Intake])</f>
        <v>2552.8214285714284</v>
      </c>
      <c r="I186" s="24">
        <f ca="1">_xlfn.AGGREGATE(1,5,Calo[Cân Nặng])</f>
        <v>70.607142857142861</v>
      </c>
    </row>
    <row r="187" spans="3:9" ht="15" hidden="1" x14ac:dyDescent="0.2">
      <c r="C187" s="3">
        <v>3</v>
      </c>
      <c r="D187" s="5" t="s">
        <v>140</v>
      </c>
      <c r="E187" s="7">
        <v>45110</v>
      </c>
      <c r="F187" s="4">
        <f ca="1">'Track Calo và Weight'!O7</f>
        <v>2994</v>
      </c>
      <c r="G187" s="4">
        <f ca="1">'Track Calo và Weight'!P7</f>
        <v>62</v>
      </c>
      <c r="H187" s="22">
        <f ca="1">_xlfn.AGGREGATE(1,5,Calo[Calo Intake])</f>
        <v>2552.8214285714284</v>
      </c>
      <c r="I187" s="24">
        <f ca="1">_xlfn.AGGREGATE(1,5,Calo[Cân Nặng])</f>
        <v>70.607142857142861</v>
      </c>
    </row>
    <row r="188" spans="3:9" ht="15" hidden="1" x14ac:dyDescent="0.2">
      <c r="C188" s="3">
        <v>4</v>
      </c>
      <c r="D188" s="5" t="s">
        <v>140</v>
      </c>
      <c r="E188" s="7">
        <v>45111</v>
      </c>
      <c r="F188" s="4">
        <f ca="1">'Track Calo và Weight'!O8</f>
        <v>2998</v>
      </c>
      <c r="G188" s="4">
        <f ca="1">'Track Calo và Weight'!P8</f>
        <v>67</v>
      </c>
      <c r="H188" s="22">
        <f ca="1">_xlfn.AGGREGATE(1,5,Calo[Calo Intake])</f>
        <v>2552.8214285714284</v>
      </c>
      <c r="I188" s="24">
        <f ca="1">_xlfn.AGGREGATE(1,5,Calo[Cân Nặng])</f>
        <v>70.607142857142861</v>
      </c>
    </row>
    <row r="189" spans="3:9" ht="15" hidden="1" x14ac:dyDescent="0.2">
      <c r="C189" s="3">
        <v>5</v>
      </c>
      <c r="D189" s="5" t="s">
        <v>140</v>
      </c>
      <c r="E189" s="7">
        <v>45112</v>
      </c>
      <c r="F189" s="4">
        <f ca="1">'Track Calo và Weight'!O9</f>
        <v>2049</v>
      </c>
      <c r="G189" s="4">
        <f ca="1">'Track Calo và Weight'!P9</f>
        <v>76</v>
      </c>
      <c r="H189" s="22">
        <f ca="1">_xlfn.AGGREGATE(1,5,Calo[Calo Intake])</f>
        <v>2552.8214285714284</v>
      </c>
      <c r="I189" s="24">
        <f ca="1">_xlfn.AGGREGATE(1,5,Calo[Cân Nặng])</f>
        <v>70.607142857142861</v>
      </c>
    </row>
    <row r="190" spans="3:9" ht="15" hidden="1" x14ac:dyDescent="0.2">
      <c r="C190" s="3">
        <v>6</v>
      </c>
      <c r="D190" s="5" t="s">
        <v>140</v>
      </c>
      <c r="E190" s="7">
        <v>45113</v>
      </c>
      <c r="F190" s="4">
        <f ca="1">'Track Calo và Weight'!O10</f>
        <v>2934</v>
      </c>
      <c r="G190" s="4">
        <f ca="1">'Track Calo và Weight'!P10</f>
        <v>75</v>
      </c>
      <c r="H190" s="22">
        <f ca="1">_xlfn.AGGREGATE(1,5,Calo[Calo Intake])</f>
        <v>2552.8214285714284</v>
      </c>
      <c r="I190" s="24">
        <f ca="1">_xlfn.AGGREGATE(1,5,Calo[Cân Nặng])</f>
        <v>70.607142857142861</v>
      </c>
    </row>
    <row r="191" spans="3:9" ht="15" hidden="1" x14ac:dyDescent="0.2">
      <c r="C191" s="3">
        <v>7</v>
      </c>
      <c r="D191" s="5" t="s">
        <v>140</v>
      </c>
      <c r="E191" s="7">
        <v>45114</v>
      </c>
      <c r="F191" s="4">
        <f ca="1">'Track Calo và Weight'!O11</f>
        <v>2582</v>
      </c>
      <c r="G191" s="4">
        <f ca="1">'Track Calo và Weight'!P11</f>
        <v>76</v>
      </c>
      <c r="H191" s="22">
        <f ca="1">_xlfn.AGGREGATE(1,5,Calo[Calo Intake])</f>
        <v>2552.8214285714284</v>
      </c>
      <c r="I191" s="24">
        <f ca="1">_xlfn.AGGREGATE(1,5,Calo[Cân Nặng])</f>
        <v>70.607142857142861</v>
      </c>
    </row>
    <row r="192" spans="3:9" ht="15" hidden="1" x14ac:dyDescent="0.2">
      <c r="C192" s="3">
        <v>8</v>
      </c>
      <c r="D192" s="5" t="s">
        <v>140</v>
      </c>
      <c r="E192" s="7">
        <v>45115</v>
      </c>
      <c r="F192" s="4">
        <f ca="1">'Track Calo và Weight'!O12</f>
        <v>2912</v>
      </c>
      <c r="G192" s="4">
        <f ca="1">'Track Calo và Weight'!P12</f>
        <v>65</v>
      </c>
      <c r="H192" s="22">
        <f ca="1">_xlfn.AGGREGATE(1,5,Calo[Calo Intake])</f>
        <v>2552.8214285714284</v>
      </c>
      <c r="I192" s="24">
        <f ca="1">_xlfn.AGGREGATE(1,5,Calo[Cân Nặng])</f>
        <v>70.607142857142861</v>
      </c>
    </row>
    <row r="193" spans="3:9" ht="15" hidden="1" x14ac:dyDescent="0.2">
      <c r="C193" s="3">
        <v>9</v>
      </c>
      <c r="D193" s="5" t="s">
        <v>140</v>
      </c>
      <c r="E193" s="7">
        <v>45116</v>
      </c>
      <c r="F193" s="4">
        <f ca="1">'Track Calo và Weight'!O13</f>
        <v>2370</v>
      </c>
      <c r="G193" s="4">
        <f ca="1">'Track Calo và Weight'!P13</f>
        <v>60</v>
      </c>
      <c r="H193" s="22">
        <f ca="1">_xlfn.AGGREGATE(1,5,Calo[Calo Intake])</f>
        <v>2552.8214285714284</v>
      </c>
      <c r="I193" s="24">
        <f ca="1">_xlfn.AGGREGATE(1,5,Calo[Cân Nặng])</f>
        <v>70.607142857142861</v>
      </c>
    </row>
    <row r="194" spans="3:9" ht="15" hidden="1" x14ac:dyDescent="0.2">
      <c r="C194" s="3">
        <v>10</v>
      </c>
      <c r="D194" s="5" t="s">
        <v>140</v>
      </c>
      <c r="E194" s="7">
        <v>45117</v>
      </c>
      <c r="F194" s="4">
        <f ca="1">'Track Calo và Weight'!O14</f>
        <v>2842</v>
      </c>
      <c r="G194" s="4">
        <f ca="1">'Track Calo và Weight'!P14</f>
        <v>78</v>
      </c>
      <c r="H194" s="22">
        <f ca="1">_xlfn.AGGREGATE(1,5,Calo[Calo Intake])</f>
        <v>2552.8214285714284</v>
      </c>
      <c r="I194" s="24">
        <f ca="1">_xlfn.AGGREGATE(1,5,Calo[Cân Nặng])</f>
        <v>70.607142857142861</v>
      </c>
    </row>
    <row r="195" spans="3:9" ht="15" hidden="1" x14ac:dyDescent="0.2">
      <c r="C195" s="3">
        <v>11</v>
      </c>
      <c r="D195" s="5" t="s">
        <v>140</v>
      </c>
      <c r="E195" s="7">
        <v>45118</v>
      </c>
      <c r="F195" s="4">
        <f ca="1">'Track Calo và Weight'!O15</f>
        <v>2136</v>
      </c>
      <c r="G195" s="4">
        <f ca="1">'Track Calo và Weight'!P15</f>
        <v>66</v>
      </c>
      <c r="H195" s="22">
        <f ca="1">_xlfn.AGGREGATE(1,5,Calo[Calo Intake])</f>
        <v>2552.8214285714284</v>
      </c>
      <c r="I195" s="24">
        <f ca="1">_xlfn.AGGREGATE(1,5,Calo[Cân Nặng])</f>
        <v>70.607142857142861</v>
      </c>
    </row>
    <row r="196" spans="3:9" ht="15" hidden="1" x14ac:dyDescent="0.2">
      <c r="C196" s="3">
        <v>12</v>
      </c>
      <c r="D196" s="5" t="s">
        <v>140</v>
      </c>
      <c r="E196" s="7">
        <v>45119</v>
      </c>
      <c r="F196" s="4">
        <f ca="1">'Track Calo và Weight'!O16</f>
        <v>2536</v>
      </c>
      <c r="G196" s="4">
        <f ca="1">'Track Calo và Weight'!P16</f>
        <v>75</v>
      </c>
      <c r="H196" s="22">
        <f ca="1">_xlfn.AGGREGATE(1,5,Calo[Calo Intake])</f>
        <v>2552.8214285714284</v>
      </c>
      <c r="I196" s="24">
        <f ca="1">_xlfn.AGGREGATE(1,5,Calo[Cân Nặng])</f>
        <v>70.607142857142861</v>
      </c>
    </row>
    <row r="197" spans="3:9" ht="15" hidden="1" x14ac:dyDescent="0.2">
      <c r="C197" s="3">
        <v>13</v>
      </c>
      <c r="D197" s="5" t="s">
        <v>140</v>
      </c>
      <c r="E197" s="7">
        <v>45120</v>
      </c>
      <c r="F197" s="4">
        <f ca="1">'Track Calo và Weight'!O17</f>
        <v>2099</v>
      </c>
      <c r="G197" s="4">
        <f ca="1">'Track Calo và Weight'!P17</f>
        <v>66</v>
      </c>
      <c r="H197" s="22">
        <f ca="1">_xlfn.AGGREGATE(1,5,Calo[Calo Intake])</f>
        <v>2552.8214285714284</v>
      </c>
      <c r="I197" s="24">
        <f ca="1">_xlfn.AGGREGATE(1,5,Calo[Cân Nặng])</f>
        <v>70.607142857142861</v>
      </c>
    </row>
    <row r="198" spans="3:9" ht="15" hidden="1" x14ac:dyDescent="0.2">
      <c r="C198" s="3">
        <v>14</v>
      </c>
      <c r="D198" s="5" t="s">
        <v>140</v>
      </c>
      <c r="E198" s="7">
        <v>45121</v>
      </c>
      <c r="F198" s="4">
        <f ca="1">'Track Calo và Weight'!O18</f>
        <v>2622</v>
      </c>
      <c r="G198" s="4">
        <f ca="1">'Track Calo và Weight'!P18</f>
        <v>65</v>
      </c>
      <c r="H198" s="22">
        <f ca="1">_xlfn.AGGREGATE(1,5,Calo[Calo Intake])</f>
        <v>2552.8214285714284</v>
      </c>
      <c r="I198" s="24">
        <f ca="1">_xlfn.AGGREGATE(1,5,Calo[Cân Nặng])</f>
        <v>70.607142857142861</v>
      </c>
    </row>
    <row r="199" spans="3:9" ht="15" hidden="1" x14ac:dyDescent="0.2">
      <c r="C199" s="3">
        <v>15</v>
      </c>
      <c r="D199" s="5" t="s">
        <v>140</v>
      </c>
      <c r="E199" s="7">
        <v>45122</v>
      </c>
      <c r="F199" s="4">
        <f ca="1">'Track Calo và Weight'!O19</f>
        <v>2425</v>
      </c>
      <c r="G199" s="4">
        <f ca="1">'Track Calo và Weight'!P19</f>
        <v>79</v>
      </c>
      <c r="H199" s="22">
        <f ca="1">_xlfn.AGGREGATE(1,5,Calo[Calo Intake])</f>
        <v>2552.8214285714284</v>
      </c>
      <c r="I199" s="24">
        <f ca="1">_xlfn.AGGREGATE(1,5,Calo[Cân Nặng])</f>
        <v>70.607142857142861</v>
      </c>
    </row>
    <row r="200" spans="3:9" ht="15" hidden="1" x14ac:dyDescent="0.2">
      <c r="C200" s="3">
        <v>16</v>
      </c>
      <c r="D200" s="5" t="s">
        <v>140</v>
      </c>
      <c r="E200" s="7">
        <v>45123</v>
      </c>
      <c r="F200" s="4">
        <f ca="1">'Track Calo và Weight'!O20</f>
        <v>2257</v>
      </c>
      <c r="G200" s="4">
        <f ca="1">'Track Calo và Weight'!P20</f>
        <v>68</v>
      </c>
      <c r="H200" s="22">
        <f ca="1">_xlfn.AGGREGATE(1,5,Calo[Calo Intake])</f>
        <v>2552.8214285714284</v>
      </c>
      <c r="I200" s="24">
        <f ca="1">_xlfn.AGGREGATE(1,5,Calo[Cân Nặng])</f>
        <v>70.607142857142861</v>
      </c>
    </row>
    <row r="201" spans="3:9" ht="15" hidden="1" x14ac:dyDescent="0.2">
      <c r="C201" s="3">
        <v>17</v>
      </c>
      <c r="D201" s="5" t="s">
        <v>140</v>
      </c>
      <c r="E201" s="7">
        <v>45124</v>
      </c>
      <c r="F201" s="4">
        <f ca="1">'Track Calo và Weight'!O21</f>
        <v>2603</v>
      </c>
      <c r="G201" s="4">
        <f ca="1">'Track Calo và Weight'!P21</f>
        <v>77</v>
      </c>
      <c r="H201" s="22">
        <f ca="1">_xlfn.AGGREGATE(1,5,Calo[Calo Intake])</f>
        <v>2552.8214285714284</v>
      </c>
      <c r="I201" s="24">
        <f ca="1">_xlfn.AGGREGATE(1,5,Calo[Cân Nặng])</f>
        <v>70.607142857142861</v>
      </c>
    </row>
    <row r="202" spans="3:9" ht="15" hidden="1" x14ac:dyDescent="0.2">
      <c r="C202" s="3">
        <v>18</v>
      </c>
      <c r="D202" s="5" t="s">
        <v>140</v>
      </c>
      <c r="E202" s="7">
        <v>45125</v>
      </c>
      <c r="F202" s="4">
        <f ca="1">'Track Calo và Weight'!O22</f>
        <v>2946</v>
      </c>
      <c r="G202" s="4">
        <f ca="1">'Track Calo và Weight'!P22</f>
        <v>60</v>
      </c>
      <c r="H202" s="22">
        <f ca="1">_xlfn.AGGREGATE(1,5,Calo[Calo Intake])</f>
        <v>2552.8214285714284</v>
      </c>
      <c r="I202" s="24">
        <f ca="1">_xlfn.AGGREGATE(1,5,Calo[Cân Nặng])</f>
        <v>70.607142857142861</v>
      </c>
    </row>
    <row r="203" spans="3:9" ht="15" hidden="1" x14ac:dyDescent="0.2">
      <c r="C203" s="3">
        <v>19</v>
      </c>
      <c r="D203" s="5" t="s">
        <v>140</v>
      </c>
      <c r="E203" s="7">
        <v>45126</v>
      </c>
      <c r="F203" s="4">
        <f ca="1">'Track Calo và Weight'!O23</f>
        <v>2464</v>
      </c>
      <c r="G203" s="4">
        <f ca="1">'Track Calo và Weight'!P23</f>
        <v>66</v>
      </c>
      <c r="H203" s="22">
        <f ca="1">_xlfn.AGGREGATE(1,5,Calo[Calo Intake])</f>
        <v>2552.8214285714284</v>
      </c>
      <c r="I203" s="24">
        <f ca="1">_xlfn.AGGREGATE(1,5,Calo[Cân Nặng])</f>
        <v>70.607142857142861</v>
      </c>
    </row>
    <row r="204" spans="3:9" ht="15" hidden="1" x14ac:dyDescent="0.2">
      <c r="C204" s="3">
        <v>20</v>
      </c>
      <c r="D204" s="5" t="s">
        <v>140</v>
      </c>
      <c r="E204" s="7">
        <v>45127</v>
      </c>
      <c r="F204" s="4">
        <f ca="1">'Track Calo và Weight'!O24</f>
        <v>2095</v>
      </c>
      <c r="G204" s="4">
        <f ca="1">'Track Calo và Weight'!P24</f>
        <v>77</v>
      </c>
      <c r="H204" s="22">
        <f ca="1">_xlfn.AGGREGATE(1,5,Calo[Calo Intake])</f>
        <v>2552.8214285714284</v>
      </c>
      <c r="I204" s="24">
        <f ca="1">_xlfn.AGGREGATE(1,5,Calo[Cân Nặng])</f>
        <v>70.607142857142861</v>
      </c>
    </row>
    <row r="205" spans="3:9" ht="15" hidden="1" x14ac:dyDescent="0.2">
      <c r="C205" s="3">
        <v>21</v>
      </c>
      <c r="D205" s="5" t="s">
        <v>140</v>
      </c>
      <c r="E205" s="7">
        <v>45128</v>
      </c>
      <c r="F205" s="4">
        <f ca="1">'Track Calo và Weight'!O25</f>
        <v>2823</v>
      </c>
      <c r="G205" s="4">
        <f ca="1">'Track Calo và Weight'!P25</f>
        <v>62</v>
      </c>
      <c r="H205" s="22">
        <f ca="1">_xlfn.AGGREGATE(1,5,Calo[Calo Intake])</f>
        <v>2552.8214285714284</v>
      </c>
      <c r="I205" s="24">
        <f ca="1">_xlfn.AGGREGATE(1,5,Calo[Cân Nặng])</f>
        <v>70.607142857142861</v>
      </c>
    </row>
    <row r="206" spans="3:9" ht="15" hidden="1" x14ac:dyDescent="0.2">
      <c r="C206" s="3">
        <v>22</v>
      </c>
      <c r="D206" s="5" t="s">
        <v>140</v>
      </c>
      <c r="E206" s="7">
        <v>45129</v>
      </c>
      <c r="F206" s="4">
        <f ca="1">'Track Calo và Weight'!O26</f>
        <v>2395</v>
      </c>
      <c r="G206" s="4">
        <f ca="1">'Track Calo và Weight'!P26</f>
        <v>80</v>
      </c>
      <c r="H206" s="22">
        <f ca="1">_xlfn.AGGREGATE(1,5,Calo[Calo Intake])</f>
        <v>2552.8214285714284</v>
      </c>
      <c r="I206" s="24">
        <f ca="1">_xlfn.AGGREGATE(1,5,Calo[Cân Nặng])</f>
        <v>70.607142857142861</v>
      </c>
    </row>
    <row r="207" spans="3:9" ht="15" hidden="1" x14ac:dyDescent="0.2">
      <c r="C207" s="3">
        <v>23</v>
      </c>
      <c r="D207" s="5" t="s">
        <v>140</v>
      </c>
      <c r="E207" s="7">
        <v>45130</v>
      </c>
      <c r="F207" s="4">
        <f ca="1">'Track Calo và Weight'!O27</f>
        <v>2815</v>
      </c>
      <c r="G207" s="4">
        <f ca="1">'Track Calo và Weight'!P27</f>
        <v>67</v>
      </c>
      <c r="H207" s="22">
        <f ca="1">_xlfn.AGGREGATE(1,5,Calo[Calo Intake])</f>
        <v>2552.8214285714284</v>
      </c>
      <c r="I207" s="24">
        <f ca="1">_xlfn.AGGREGATE(1,5,Calo[Cân Nặng])</f>
        <v>70.607142857142861</v>
      </c>
    </row>
    <row r="208" spans="3:9" ht="15" hidden="1" x14ac:dyDescent="0.2">
      <c r="C208" s="3">
        <v>24</v>
      </c>
      <c r="D208" s="5" t="s">
        <v>140</v>
      </c>
      <c r="E208" s="7">
        <v>45131</v>
      </c>
      <c r="F208" s="4">
        <f ca="1">'Track Calo và Weight'!O28</f>
        <v>2622</v>
      </c>
      <c r="G208" s="4">
        <f ca="1">'Track Calo và Weight'!P28</f>
        <v>63</v>
      </c>
      <c r="H208" s="22">
        <f ca="1">_xlfn.AGGREGATE(1,5,Calo[Calo Intake])</f>
        <v>2552.8214285714284</v>
      </c>
      <c r="I208" s="24">
        <f ca="1">_xlfn.AGGREGATE(1,5,Calo[Cân Nặng])</f>
        <v>70.607142857142861</v>
      </c>
    </row>
    <row r="209" spans="3:9" ht="15" hidden="1" x14ac:dyDescent="0.2">
      <c r="C209" s="3">
        <v>25</v>
      </c>
      <c r="D209" s="5" t="s">
        <v>140</v>
      </c>
      <c r="E209" s="7">
        <v>45132</v>
      </c>
      <c r="F209" s="4">
        <f ca="1">'Track Calo và Weight'!O29</f>
        <v>2883</v>
      </c>
      <c r="G209" s="4">
        <f ca="1">'Track Calo và Weight'!P29</f>
        <v>74</v>
      </c>
      <c r="H209" s="22">
        <f ca="1">_xlfn.AGGREGATE(1,5,Calo[Calo Intake])</f>
        <v>2552.8214285714284</v>
      </c>
      <c r="I209" s="24">
        <f ca="1">_xlfn.AGGREGATE(1,5,Calo[Cân Nặng])</f>
        <v>70.607142857142861</v>
      </c>
    </row>
    <row r="210" spans="3:9" ht="15" hidden="1" x14ac:dyDescent="0.2">
      <c r="C210" s="3">
        <v>26</v>
      </c>
      <c r="D210" s="5" t="s">
        <v>140</v>
      </c>
      <c r="E210" s="7">
        <v>45133</v>
      </c>
      <c r="F210" s="4">
        <f ca="1">'Track Calo và Weight'!O30</f>
        <v>2932</v>
      </c>
      <c r="G210" s="4">
        <f ca="1">'Track Calo và Weight'!P30</f>
        <v>78</v>
      </c>
      <c r="H210" s="22">
        <f ca="1">_xlfn.AGGREGATE(1,5,Calo[Calo Intake])</f>
        <v>2552.8214285714284</v>
      </c>
      <c r="I210" s="24">
        <f ca="1">_xlfn.AGGREGATE(1,5,Calo[Cân Nặng])</f>
        <v>70.607142857142861</v>
      </c>
    </row>
    <row r="211" spans="3:9" ht="15" hidden="1" x14ac:dyDescent="0.2">
      <c r="C211" s="3">
        <v>27</v>
      </c>
      <c r="D211" s="5" t="s">
        <v>140</v>
      </c>
      <c r="E211" s="7">
        <v>45134</v>
      </c>
      <c r="F211" s="4">
        <f ca="1">'Track Calo và Weight'!O31</f>
        <v>2224</v>
      </c>
      <c r="G211" s="4">
        <f ca="1">'Track Calo và Weight'!P31</f>
        <v>76</v>
      </c>
      <c r="H211" s="22">
        <f ca="1">_xlfn.AGGREGATE(1,5,Calo[Calo Intake])</f>
        <v>2552.8214285714284</v>
      </c>
      <c r="I211" s="24">
        <f ca="1">_xlfn.AGGREGATE(1,5,Calo[Cân Nặng])</f>
        <v>70.607142857142861</v>
      </c>
    </row>
    <row r="212" spans="3:9" ht="15" hidden="1" x14ac:dyDescent="0.2">
      <c r="C212" s="3">
        <v>28</v>
      </c>
      <c r="D212" s="5" t="s">
        <v>140</v>
      </c>
      <c r="E212" s="7">
        <v>45135</v>
      </c>
      <c r="F212" s="4">
        <f ca="1">'Track Calo và Weight'!O32</f>
        <v>2406</v>
      </c>
      <c r="G212" s="4">
        <f ca="1">'Track Calo và Weight'!P32</f>
        <v>63</v>
      </c>
      <c r="H212" s="22">
        <f ca="1">_xlfn.AGGREGATE(1,5,Calo[Calo Intake])</f>
        <v>2552.8214285714284</v>
      </c>
      <c r="I212" s="24">
        <f ca="1">_xlfn.AGGREGATE(1,5,Calo[Cân Nặng])</f>
        <v>70.607142857142861</v>
      </c>
    </row>
    <row r="213" spans="3:9" ht="15" hidden="1" x14ac:dyDescent="0.2">
      <c r="C213" s="3">
        <v>29</v>
      </c>
      <c r="D213" s="5" t="s">
        <v>140</v>
      </c>
      <c r="E213" s="7">
        <v>45136</v>
      </c>
      <c r="F213" s="4">
        <f ca="1">'Track Calo và Weight'!O33</f>
        <v>2841</v>
      </c>
      <c r="G213" s="4">
        <f ca="1">'Track Calo và Weight'!P33</f>
        <v>74</v>
      </c>
      <c r="H213" s="22">
        <f ca="1">_xlfn.AGGREGATE(1,5,Calo[Calo Intake])</f>
        <v>2552.8214285714284</v>
      </c>
      <c r="I213" s="24">
        <f ca="1">_xlfn.AGGREGATE(1,5,Calo[Cân Nặng])</f>
        <v>70.607142857142861</v>
      </c>
    </row>
    <row r="214" spans="3:9" ht="15" hidden="1" x14ac:dyDescent="0.2">
      <c r="C214" s="3">
        <v>30</v>
      </c>
      <c r="D214" s="5" t="s">
        <v>140</v>
      </c>
      <c r="E214" s="7">
        <v>45137</v>
      </c>
      <c r="F214" s="4">
        <f ca="1">'Track Calo và Weight'!O34</f>
        <v>2584</v>
      </c>
      <c r="G214" s="4">
        <f ca="1">'Track Calo và Weight'!P34</f>
        <v>71</v>
      </c>
      <c r="H214" s="22">
        <f ca="1">_xlfn.AGGREGATE(1,5,Calo[Calo Intake])</f>
        <v>2552.8214285714284</v>
      </c>
      <c r="I214" s="24">
        <f ca="1">_xlfn.AGGREGATE(1,5,Calo[Cân Nặng])</f>
        <v>70.607142857142861</v>
      </c>
    </row>
    <row r="215" spans="3:9" ht="15.75" hidden="1" thickBot="1" x14ac:dyDescent="0.25">
      <c r="C215" s="16">
        <v>31</v>
      </c>
      <c r="D215" s="17" t="s">
        <v>140</v>
      </c>
      <c r="E215" s="18">
        <v>45138</v>
      </c>
      <c r="F215" s="19">
        <f ca="1">'Track Calo và Weight'!O35</f>
        <v>2170</v>
      </c>
      <c r="G215" s="19">
        <f ca="1">'Track Calo và Weight'!P35</f>
        <v>69</v>
      </c>
      <c r="H215" s="22">
        <f ca="1">_xlfn.AGGREGATE(1,5,Calo[Calo Intake])</f>
        <v>2552.8214285714284</v>
      </c>
      <c r="I215" s="24">
        <f ca="1">_xlfn.AGGREGATE(1,5,Calo[Cân Nặng])</f>
        <v>70.607142857142861</v>
      </c>
    </row>
    <row r="216" spans="3:9" ht="15" hidden="1" x14ac:dyDescent="0.2">
      <c r="C216" s="12">
        <v>1</v>
      </c>
      <c r="D216" s="13" t="s">
        <v>141</v>
      </c>
      <c r="E216" s="14">
        <v>45139</v>
      </c>
      <c r="F216" s="15">
        <f ca="1">'Track Calo và Weight'!Q5</f>
        <v>2042</v>
      </c>
      <c r="G216" s="15">
        <f ca="1">'Track Calo và Weight'!R5</f>
        <v>71</v>
      </c>
      <c r="H216" s="22">
        <f ca="1">_xlfn.AGGREGATE(1,5,Calo[Calo Intake])</f>
        <v>2552.8214285714284</v>
      </c>
      <c r="I216" s="24">
        <f ca="1">_xlfn.AGGREGATE(1,5,Calo[Cân Nặng])</f>
        <v>70.607142857142861</v>
      </c>
    </row>
    <row r="217" spans="3:9" ht="15" hidden="1" x14ac:dyDescent="0.2">
      <c r="C217" s="3">
        <v>2</v>
      </c>
      <c r="D217" s="5" t="s">
        <v>141</v>
      </c>
      <c r="E217" s="7">
        <v>45140</v>
      </c>
      <c r="F217" s="4">
        <f ca="1">'Track Calo và Weight'!Q6</f>
        <v>2213</v>
      </c>
      <c r="G217" s="4">
        <f ca="1">'Track Calo và Weight'!R6</f>
        <v>66</v>
      </c>
      <c r="H217" s="22">
        <f ca="1">_xlfn.AGGREGATE(1,5,Calo[Calo Intake])</f>
        <v>2552.8214285714284</v>
      </c>
      <c r="I217" s="24">
        <f ca="1">_xlfn.AGGREGATE(1,5,Calo[Cân Nặng])</f>
        <v>70.607142857142861</v>
      </c>
    </row>
    <row r="218" spans="3:9" ht="15" hidden="1" x14ac:dyDescent="0.2">
      <c r="C218" s="3">
        <v>3</v>
      </c>
      <c r="D218" s="5" t="s">
        <v>141</v>
      </c>
      <c r="E218" s="7">
        <v>45141</v>
      </c>
      <c r="F218" s="4">
        <f ca="1">'Track Calo và Weight'!Q7</f>
        <v>2999</v>
      </c>
      <c r="G218" s="4">
        <f ca="1">'Track Calo và Weight'!R7</f>
        <v>76</v>
      </c>
      <c r="H218" s="22">
        <f ca="1">_xlfn.AGGREGATE(1,5,Calo[Calo Intake])</f>
        <v>2552.8214285714284</v>
      </c>
      <c r="I218" s="24">
        <f ca="1">_xlfn.AGGREGATE(1,5,Calo[Cân Nặng])</f>
        <v>70.607142857142861</v>
      </c>
    </row>
    <row r="219" spans="3:9" ht="15" hidden="1" x14ac:dyDescent="0.2">
      <c r="C219" s="3">
        <v>4</v>
      </c>
      <c r="D219" s="5" t="s">
        <v>141</v>
      </c>
      <c r="E219" s="7">
        <v>45142</v>
      </c>
      <c r="F219" s="4">
        <f ca="1">'Track Calo và Weight'!Q8</f>
        <v>2588</v>
      </c>
      <c r="G219" s="4">
        <f ca="1">'Track Calo và Weight'!R8</f>
        <v>62</v>
      </c>
      <c r="H219" s="22">
        <f ca="1">_xlfn.AGGREGATE(1,5,Calo[Calo Intake])</f>
        <v>2552.8214285714284</v>
      </c>
      <c r="I219" s="24">
        <f ca="1">_xlfn.AGGREGATE(1,5,Calo[Cân Nặng])</f>
        <v>70.607142857142861</v>
      </c>
    </row>
    <row r="220" spans="3:9" ht="15" hidden="1" x14ac:dyDescent="0.2">
      <c r="C220" s="3">
        <v>5</v>
      </c>
      <c r="D220" s="5" t="s">
        <v>141</v>
      </c>
      <c r="E220" s="7">
        <v>45143</v>
      </c>
      <c r="F220" s="4">
        <f ca="1">'Track Calo và Weight'!Q9</f>
        <v>2851</v>
      </c>
      <c r="G220" s="4">
        <f ca="1">'Track Calo và Weight'!R9</f>
        <v>69</v>
      </c>
      <c r="H220" s="22">
        <f ca="1">_xlfn.AGGREGATE(1,5,Calo[Calo Intake])</f>
        <v>2552.8214285714284</v>
      </c>
      <c r="I220" s="24">
        <f ca="1">_xlfn.AGGREGATE(1,5,Calo[Cân Nặng])</f>
        <v>70.607142857142861</v>
      </c>
    </row>
    <row r="221" spans="3:9" ht="15" hidden="1" x14ac:dyDescent="0.2">
      <c r="C221" s="3">
        <v>6</v>
      </c>
      <c r="D221" s="5" t="s">
        <v>141</v>
      </c>
      <c r="E221" s="7">
        <v>45144</v>
      </c>
      <c r="F221" s="4">
        <f ca="1">'Track Calo và Weight'!Q10</f>
        <v>2501</v>
      </c>
      <c r="G221" s="4">
        <f ca="1">'Track Calo và Weight'!R10</f>
        <v>75</v>
      </c>
      <c r="H221" s="22">
        <f ca="1">_xlfn.AGGREGATE(1,5,Calo[Calo Intake])</f>
        <v>2552.8214285714284</v>
      </c>
      <c r="I221" s="24">
        <f ca="1">_xlfn.AGGREGATE(1,5,Calo[Cân Nặng])</f>
        <v>70.607142857142861</v>
      </c>
    </row>
    <row r="222" spans="3:9" ht="15" hidden="1" x14ac:dyDescent="0.2">
      <c r="C222" s="3">
        <v>7</v>
      </c>
      <c r="D222" s="5" t="s">
        <v>141</v>
      </c>
      <c r="E222" s="7">
        <v>45145</v>
      </c>
      <c r="F222" s="4">
        <f ca="1">'Track Calo và Weight'!Q11</f>
        <v>2098</v>
      </c>
      <c r="G222" s="4">
        <f ca="1">'Track Calo và Weight'!R11</f>
        <v>66</v>
      </c>
      <c r="H222" s="22">
        <f ca="1">_xlfn.AGGREGATE(1,5,Calo[Calo Intake])</f>
        <v>2552.8214285714284</v>
      </c>
      <c r="I222" s="24">
        <f ca="1">_xlfn.AGGREGATE(1,5,Calo[Cân Nặng])</f>
        <v>70.607142857142861</v>
      </c>
    </row>
    <row r="223" spans="3:9" ht="15" hidden="1" x14ac:dyDescent="0.2">
      <c r="C223" s="3">
        <v>8</v>
      </c>
      <c r="D223" s="5" t="s">
        <v>141</v>
      </c>
      <c r="E223" s="7">
        <v>45146</v>
      </c>
      <c r="F223" s="4">
        <f ca="1">'Track Calo và Weight'!Q12</f>
        <v>2648</v>
      </c>
      <c r="G223" s="4">
        <f ca="1">'Track Calo và Weight'!R12</f>
        <v>80</v>
      </c>
      <c r="H223" s="22">
        <f ca="1">_xlfn.AGGREGATE(1,5,Calo[Calo Intake])</f>
        <v>2552.8214285714284</v>
      </c>
      <c r="I223" s="24">
        <f ca="1">_xlfn.AGGREGATE(1,5,Calo[Cân Nặng])</f>
        <v>70.607142857142861</v>
      </c>
    </row>
    <row r="224" spans="3:9" ht="15" hidden="1" x14ac:dyDescent="0.2">
      <c r="C224" s="3">
        <v>9</v>
      </c>
      <c r="D224" s="5" t="s">
        <v>141</v>
      </c>
      <c r="E224" s="7">
        <v>45147</v>
      </c>
      <c r="F224" s="4">
        <f ca="1">'Track Calo và Weight'!Q13</f>
        <v>2135</v>
      </c>
      <c r="G224" s="4">
        <f ca="1">'Track Calo và Weight'!R13</f>
        <v>66</v>
      </c>
      <c r="H224" s="22">
        <f ca="1">_xlfn.AGGREGATE(1,5,Calo[Calo Intake])</f>
        <v>2552.8214285714284</v>
      </c>
      <c r="I224" s="24">
        <f ca="1">_xlfn.AGGREGATE(1,5,Calo[Cân Nặng])</f>
        <v>70.607142857142861</v>
      </c>
    </row>
    <row r="225" spans="3:9" ht="15" hidden="1" x14ac:dyDescent="0.2">
      <c r="C225" s="3">
        <v>10</v>
      </c>
      <c r="D225" s="5" t="s">
        <v>141</v>
      </c>
      <c r="E225" s="7">
        <v>45148</v>
      </c>
      <c r="F225" s="4">
        <f ca="1">'Track Calo và Weight'!Q14</f>
        <v>2014</v>
      </c>
      <c r="G225" s="4">
        <f ca="1">'Track Calo và Weight'!R14</f>
        <v>61</v>
      </c>
      <c r="H225" s="22">
        <f ca="1">_xlfn.AGGREGATE(1,5,Calo[Calo Intake])</f>
        <v>2552.8214285714284</v>
      </c>
      <c r="I225" s="24">
        <f ca="1">_xlfn.AGGREGATE(1,5,Calo[Cân Nặng])</f>
        <v>70.607142857142861</v>
      </c>
    </row>
    <row r="226" spans="3:9" ht="15" hidden="1" x14ac:dyDescent="0.2">
      <c r="C226" s="3">
        <v>11</v>
      </c>
      <c r="D226" s="5" t="s">
        <v>141</v>
      </c>
      <c r="E226" s="7">
        <v>45149</v>
      </c>
      <c r="F226" s="4">
        <f ca="1">'Track Calo và Weight'!Q15</f>
        <v>2238</v>
      </c>
      <c r="G226" s="4">
        <f ca="1">'Track Calo và Weight'!R15</f>
        <v>75</v>
      </c>
      <c r="H226" s="22">
        <f ca="1">_xlfn.AGGREGATE(1,5,Calo[Calo Intake])</f>
        <v>2552.8214285714284</v>
      </c>
      <c r="I226" s="24">
        <f ca="1">_xlfn.AGGREGATE(1,5,Calo[Cân Nặng])</f>
        <v>70.607142857142861</v>
      </c>
    </row>
    <row r="227" spans="3:9" ht="15" hidden="1" x14ac:dyDescent="0.2">
      <c r="C227" s="3">
        <v>12</v>
      </c>
      <c r="D227" s="5" t="s">
        <v>141</v>
      </c>
      <c r="E227" s="7">
        <v>45150</v>
      </c>
      <c r="F227" s="4">
        <f ca="1">'Track Calo và Weight'!Q16</f>
        <v>2014</v>
      </c>
      <c r="G227" s="4">
        <f ca="1">'Track Calo và Weight'!R16</f>
        <v>75</v>
      </c>
      <c r="H227" s="22">
        <f ca="1">_xlfn.AGGREGATE(1,5,Calo[Calo Intake])</f>
        <v>2552.8214285714284</v>
      </c>
      <c r="I227" s="24">
        <f ca="1">_xlfn.AGGREGATE(1,5,Calo[Cân Nặng])</f>
        <v>70.607142857142861</v>
      </c>
    </row>
    <row r="228" spans="3:9" ht="15" hidden="1" x14ac:dyDescent="0.2">
      <c r="C228" s="3">
        <v>13</v>
      </c>
      <c r="D228" s="5" t="s">
        <v>141</v>
      </c>
      <c r="E228" s="7">
        <v>45151</v>
      </c>
      <c r="F228" s="4">
        <f ca="1">'Track Calo và Weight'!Q17</f>
        <v>2808</v>
      </c>
      <c r="G228" s="4">
        <f ca="1">'Track Calo và Weight'!R17</f>
        <v>67</v>
      </c>
      <c r="H228" s="22">
        <f ca="1">_xlfn.AGGREGATE(1,5,Calo[Calo Intake])</f>
        <v>2552.8214285714284</v>
      </c>
      <c r="I228" s="24">
        <f ca="1">_xlfn.AGGREGATE(1,5,Calo[Cân Nặng])</f>
        <v>70.607142857142861</v>
      </c>
    </row>
    <row r="229" spans="3:9" ht="15" hidden="1" x14ac:dyDescent="0.2">
      <c r="C229" s="3">
        <v>14</v>
      </c>
      <c r="D229" s="5" t="s">
        <v>141</v>
      </c>
      <c r="E229" s="7">
        <v>45152</v>
      </c>
      <c r="F229" s="4">
        <f ca="1">'Track Calo và Weight'!Q18</f>
        <v>2487</v>
      </c>
      <c r="G229" s="4">
        <f ca="1">'Track Calo và Weight'!R18</f>
        <v>71</v>
      </c>
      <c r="H229" s="22">
        <f ca="1">_xlfn.AGGREGATE(1,5,Calo[Calo Intake])</f>
        <v>2552.8214285714284</v>
      </c>
      <c r="I229" s="24">
        <f ca="1">_xlfn.AGGREGATE(1,5,Calo[Cân Nặng])</f>
        <v>70.607142857142861</v>
      </c>
    </row>
    <row r="230" spans="3:9" ht="15" hidden="1" x14ac:dyDescent="0.2">
      <c r="C230" s="3">
        <v>15</v>
      </c>
      <c r="D230" s="5" t="s">
        <v>141</v>
      </c>
      <c r="E230" s="7">
        <v>45153</v>
      </c>
      <c r="F230" s="4">
        <f ca="1">'Track Calo và Weight'!Q19</f>
        <v>2037</v>
      </c>
      <c r="G230" s="4">
        <f ca="1">'Track Calo và Weight'!R19</f>
        <v>69</v>
      </c>
      <c r="H230" s="22">
        <f ca="1">_xlfn.AGGREGATE(1,5,Calo[Calo Intake])</f>
        <v>2552.8214285714284</v>
      </c>
      <c r="I230" s="24">
        <f ca="1">_xlfn.AGGREGATE(1,5,Calo[Cân Nặng])</f>
        <v>70.607142857142861</v>
      </c>
    </row>
    <row r="231" spans="3:9" ht="15" hidden="1" x14ac:dyDescent="0.2">
      <c r="C231" s="3">
        <v>16</v>
      </c>
      <c r="D231" s="5" t="s">
        <v>141</v>
      </c>
      <c r="E231" s="7">
        <v>45154</v>
      </c>
      <c r="F231" s="4">
        <f ca="1">'Track Calo và Weight'!Q20</f>
        <v>2354</v>
      </c>
      <c r="G231" s="4">
        <f ca="1">'Track Calo và Weight'!R20</f>
        <v>70</v>
      </c>
      <c r="H231" s="22">
        <f ca="1">_xlfn.AGGREGATE(1,5,Calo[Calo Intake])</f>
        <v>2552.8214285714284</v>
      </c>
      <c r="I231" s="24">
        <f ca="1">_xlfn.AGGREGATE(1,5,Calo[Cân Nặng])</f>
        <v>70.607142857142861</v>
      </c>
    </row>
    <row r="232" spans="3:9" ht="15" hidden="1" x14ac:dyDescent="0.2">
      <c r="C232" s="3">
        <v>17</v>
      </c>
      <c r="D232" s="5" t="s">
        <v>141</v>
      </c>
      <c r="E232" s="7">
        <v>45155</v>
      </c>
      <c r="F232" s="4">
        <f ca="1">'Track Calo và Weight'!Q21</f>
        <v>2296</v>
      </c>
      <c r="G232" s="4">
        <f ca="1">'Track Calo và Weight'!R21</f>
        <v>70</v>
      </c>
      <c r="H232" s="22">
        <f ca="1">_xlfn.AGGREGATE(1,5,Calo[Calo Intake])</f>
        <v>2552.8214285714284</v>
      </c>
      <c r="I232" s="24">
        <f ca="1">_xlfn.AGGREGATE(1,5,Calo[Cân Nặng])</f>
        <v>70.607142857142861</v>
      </c>
    </row>
    <row r="233" spans="3:9" ht="15" hidden="1" x14ac:dyDescent="0.2">
      <c r="C233" s="3">
        <v>18</v>
      </c>
      <c r="D233" s="5" t="s">
        <v>141</v>
      </c>
      <c r="E233" s="7">
        <v>45156</v>
      </c>
      <c r="F233" s="4">
        <f ca="1">'Track Calo và Weight'!Q22</f>
        <v>2172</v>
      </c>
      <c r="G233" s="4">
        <f ca="1">'Track Calo và Weight'!R22</f>
        <v>69</v>
      </c>
      <c r="H233" s="22">
        <f ca="1">_xlfn.AGGREGATE(1,5,Calo[Calo Intake])</f>
        <v>2552.8214285714284</v>
      </c>
      <c r="I233" s="24">
        <f ca="1">_xlfn.AGGREGATE(1,5,Calo[Cân Nặng])</f>
        <v>70.607142857142861</v>
      </c>
    </row>
    <row r="234" spans="3:9" ht="15" hidden="1" x14ac:dyDescent="0.2">
      <c r="C234" s="3">
        <v>19</v>
      </c>
      <c r="D234" s="5" t="s">
        <v>141</v>
      </c>
      <c r="E234" s="7">
        <v>45157</v>
      </c>
      <c r="F234" s="4">
        <f ca="1">'Track Calo và Weight'!Q23</f>
        <v>2204</v>
      </c>
      <c r="G234" s="4">
        <f ca="1">'Track Calo và Weight'!R23</f>
        <v>68</v>
      </c>
      <c r="H234" s="22">
        <f ca="1">_xlfn.AGGREGATE(1,5,Calo[Calo Intake])</f>
        <v>2552.8214285714284</v>
      </c>
      <c r="I234" s="24">
        <f ca="1">_xlfn.AGGREGATE(1,5,Calo[Cân Nặng])</f>
        <v>70.607142857142861</v>
      </c>
    </row>
    <row r="235" spans="3:9" ht="15" hidden="1" x14ac:dyDescent="0.2">
      <c r="C235" s="3">
        <v>20</v>
      </c>
      <c r="D235" s="5" t="s">
        <v>141</v>
      </c>
      <c r="E235" s="7">
        <v>45158</v>
      </c>
      <c r="F235" s="4">
        <f ca="1">'Track Calo và Weight'!Q24</f>
        <v>2538</v>
      </c>
      <c r="G235" s="4">
        <f ca="1">'Track Calo và Weight'!R24</f>
        <v>60</v>
      </c>
      <c r="H235" s="22">
        <f ca="1">_xlfn.AGGREGATE(1,5,Calo[Calo Intake])</f>
        <v>2552.8214285714284</v>
      </c>
      <c r="I235" s="24">
        <f ca="1">_xlfn.AGGREGATE(1,5,Calo[Cân Nặng])</f>
        <v>70.607142857142861</v>
      </c>
    </row>
    <row r="236" spans="3:9" ht="15" hidden="1" x14ac:dyDescent="0.2">
      <c r="C236" s="3">
        <v>21</v>
      </c>
      <c r="D236" s="5" t="s">
        <v>141</v>
      </c>
      <c r="E236" s="7">
        <v>45159</v>
      </c>
      <c r="F236" s="4">
        <f ca="1">'Track Calo và Weight'!Q25</f>
        <v>2680</v>
      </c>
      <c r="G236" s="4">
        <f ca="1">'Track Calo và Weight'!R25</f>
        <v>67</v>
      </c>
      <c r="H236" s="22">
        <f ca="1">_xlfn.AGGREGATE(1,5,Calo[Calo Intake])</f>
        <v>2552.8214285714284</v>
      </c>
      <c r="I236" s="24">
        <f ca="1">_xlfn.AGGREGATE(1,5,Calo[Cân Nặng])</f>
        <v>70.607142857142861</v>
      </c>
    </row>
    <row r="237" spans="3:9" ht="15" hidden="1" x14ac:dyDescent="0.2">
      <c r="C237" s="3">
        <v>22</v>
      </c>
      <c r="D237" s="5" t="s">
        <v>141</v>
      </c>
      <c r="E237" s="7">
        <v>45160</v>
      </c>
      <c r="F237" s="4">
        <f ca="1">'Track Calo và Weight'!Q26</f>
        <v>2376</v>
      </c>
      <c r="G237" s="4">
        <f ca="1">'Track Calo và Weight'!R26</f>
        <v>73</v>
      </c>
      <c r="H237" s="22">
        <f ca="1">_xlfn.AGGREGATE(1,5,Calo[Calo Intake])</f>
        <v>2552.8214285714284</v>
      </c>
      <c r="I237" s="24">
        <f ca="1">_xlfn.AGGREGATE(1,5,Calo[Cân Nặng])</f>
        <v>70.607142857142861</v>
      </c>
    </row>
    <row r="238" spans="3:9" ht="15" hidden="1" x14ac:dyDescent="0.2">
      <c r="C238" s="3">
        <v>23</v>
      </c>
      <c r="D238" s="5" t="s">
        <v>141</v>
      </c>
      <c r="E238" s="7">
        <v>45161</v>
      </c>
      <c r="F238" s="4">
        <f ca="1">'Track Calo và Weight'!Q27</f>
        <v>2046</v>
      </c>
      <c r="G238" s="4">
        <f ca="1">'Track Calo và Weight'!R27</f>
        <v>77</v>
      </c>
      <c r="H238" s="22">
        <f ca="1">_xlfn.AGGREGATE(1,5,Calo[Calo Intake])</f>
        <v>2552.8214285714284</v>
      </c>
      <c r="I238" s="24">
        <f ca="1">_xlfn.AGGREGATE(1,5,Calo[Cân Nặng])</f>
        <v>70.607142857142861</v>
      </c>
    </row>
    <row r="239" spans="3:9" ht="15" hidden="1" x14ac:dyDescent="0.2">
      <c r="C239" s="3">
        <v>24</v>
      </c>
      <c r="D239" s="5" t="s">
        <v>141</v>
      </c>
      <c r="E239" s="7">
        <v>45162</v>
      </c>
      <c r="F239" s="4">
        <f ca="1">'Track Calo và Weight'!Q28</f>
        <v>2029</v>
      </c>
      <c r="G239" s="4">
        <f ca="1">'Track Calo và Weight'!R28</f>
        <v>69</v>
      </c>
      <c r="H239" s="22">
        <f ca="1">_xlfn.AGGREGATE(1,5,Calo[Calo Intake])</f>
        <v>2552.8214285714284</v>
      </c>
      <c r="I239" s="24">
        <f ca="1">_xlfn.AGGREGATE(1,5,Calo[Cân Nặng])</f>
        <v>70.607142857142861</v>
      </c>
    </row>
    <row r="240" spans="3:9" ht="15" hidden="1" x14ac:dyDescent="0.2">
      <c r="C240" s="3">
        <v>25</v>
      </c>
      <c r="D240" s="5" t="s">
        <v>141</v>
      </c>
      <c r="E240" s="7">
        <v>45163</v>
      </c>
      <c r="F240" s="4">
        <f ca="1">'Track Calo và Weight'!Q29</f>
        <v>2184</v>
      </c>
      <c r="G240" s="4">
        <f ca="1">'Track Calo và Weight'!R29</f>
        <v>73</v>
      </c>
      <c r="H240" s="22">
        <f ca="1">_xlfn.AGGREGATE(1,5,Calo[Calo Intake])</f>
        <v>2552.8214285714284</v>
      </c>
      <c r="I240" s="24">
        <f ca="1">_xlfn.AGGREGATE(1,5,Calo[Cân Nặng])</f>
        <v>70.607142857142861</v>
      </c>
    </row>
    <row r="241" spans="3:9" ht="15" hidden="1" x14ac:dyDescent="0.2">
      <c r="C241" s="3">
        <v>26</v>
      </c>
      <c r="D241" s="5" t="s">
        <v>141</v>
      </c>
      <c r="E241" s="7">
        <v>45164</v>
      </c>
      <c r="F241" s="4">
        <f ca="1">'Track Calo và Weight'!Q30</f>
        <v>2764</v>
      </c>
      <c r="G241" s="4">
        <f ca="1">'Track Calo và Weight'!R30</f>
        <v>66</v>
      </c>
      <c r="H241" s="22">
        <f ca="1">_xlfn.AGGREGATE(1,5,Calo[Calo Intake])</f>
        <v>2552.8214285714284</v>
      </c>
      <c r="I241" s="24">
        <f ca="1">_xlfn.AGGREGATE(1,5,Calo[Cân Nặng])</f>
        <v>70.607142857142861</v>
      </c>
    </row>
    <row r="242" spans="3:9" ht="15" hidden="1" x14ac:dyDescent="0.2">
      <c r="C242" s="3">
        <v>27</v>
      </c>
      <c r="D242" s="5" t="s">
        <v>141</v>
      </c>
      <c r="E242" s="7">
        <v>45165</v>
      </c>
      <c r="F242" s="4">
        <f ca="1">'Track Calo và Weight'!Q31</f>
        <v>2939</v>
      </c>
      <c r="G242" s="4">
        <f ca="1">'Track Calo và Weight'!R31</f>
        <v>80</v>
      </c>
      <c r="H242" s="22">
        <f ca="1">_xlfn.AGGREGATE(1,5,Calo[Calo Intake])</f>
        <v>2552.8214285714284</v>
      </c>
      <c r="I242" s="24">
        <f ca="1">_xlfn.AGGREGATE(1,5,Calo[Cân Nặng])</f>
        <v>70.607142857142861</v>
      </c>
    </row>
    <row r="243" spans="3:9" ht="15" hidden="1" x14ac:dyDescent="0.2">
      <c r="C243" s="3">
        <v>28</v>
      </c>
      <c r="D243" s="5" t="s">
        <v>141</v>
      </c>
      <c r="E243" s="7">
        <v>45166</v>
      </c>
      <c r="F243" s="4">
        <f ca="1">'Track Calo và Weight'!Q32</f>
        <v>2319</v>
      </c>
      <c r="G243" s="4">
        <f ca="1">'Track Calo và Weight'!R32</f>
        <v>73</v>
      </c>
      <c r="H243" s="22">
        <f ca="1">_xlfn.AGGREGATE(1,5,Calo[Calo Intake])</f>
        <v>2552.8214285714284</v>
      </c>
      <c r="I243" s="24">
        <f ca="1">_xlfn.AGGREGATE(1,5,Calo[Cân Nặng])</f>
        <v>70.607142857142861</v>
      </c>
    </row>
    <row r="244" spans="3:9" ht="15" hidden="1" x14ac:dyDescent="0.2">
      <c r="C244" s="3">
        <v>29</v>
      </c>
      <c r="D244" s="5" t="s">
        <v>141</v>
      </c>
      <c r="E244" s="7">
        <v>45167</v>
      </c>
      <c r="F244" s="4">
        <f ca="1">'Track Calo và Weight'!Q33</f>
        <v>2145</v>
      </c>
      <c r="G244" s="4">
        <f ca="1">'Track Calo và Weight'!R33</f>
        <v>60</v>
      </c>
      <c r="H244" s="22">
        <f ca="1">_xlfn.AGGREGATE(1,5,Calo[Calo Intake])</f>
        <v>2552.8214285714284</v>
      </c>
      <c r="I244" s="24">
        <f ca="1">_xlfn.AGGREGATE(1,5,Calo[Cân Nặng])</f>
        <v>70.607142857142861</v>
      </c>
    </row>
    <row r="245" spans="3:9" ht="15" hidden="1" x14ac:dyDescent="0.2">
      <c r="C245" s="3">
        <v>30</v>
      </c>
      <c r="D245" s="5" t="s">
        <v>141</v>
      </c>
      <c r="E245" s="7">
        <v>45168</v>
      </c>
      <c r="F245" s="4">
        <f ca="1">'Track Calo và Weight'!Q34</f>
        <v>2120</v>
      </c>
      <c r="G245" s="4">
        <f ca="1">'Track Calo và Weight'!R34</f>
        <v>70</v>
      </c>
      <c r="H245" s="22">
        <f ca="1">_xlfn.AGGREGATE(1,5,Calo[Calo Intake])</f>
        <v>2552.8214285714284</v>
      </c>
      <c r="I245" s="24">
        <f ca="1">_xlfn.AGGREGATE(1,5,Calo[Cân Nặng])</f>
        <v>70.607142857142861</v>
      </c>
    </row>
    <row r="246" spans="3:9" ht="15.75" hidden="1" thickBot="1" x14ac:dyDescent="0.25">
      <c r="C246" s="16">
        <v>31</v>
      </c>
      <c r="D246" s="17" t="s">
        <v>141</v>
      </c>
      <c r="E246" s="18">
        <v>45169</v>
      </c>
      <c r="F246" s="19">
        <f ca="1">'Track Calo và Weight'!Q35</f>
        <v>2124</v>
      </c>
      <c r="G246" s="19">
        <f ca="1">'Track Calo và Weight'!R35</f>
        <v>68</v>
      </c>
      <c r="H246" s="22">
        <f ca="1">_xlfn.AGGREGATE(1,5,Calo[Calo Intake])</f>
        <v>2552.8214285714284</v>
      </c>
      <c r="I246" s="24">
        <f ca="1">_xlfn.AGGREGATE(1,5,Calo[Cân Nặng])</f>
        <v>70.607142857142861</v>
      </c>
    </row>
    <row r="247" spans="3:9" ht="15" hidden="1" x14ac:dyDescent="0.2">
      <c r="C247" s="12">
        <v>1</v>
      </c>
      <c r="D247" s="13" t="s">
        <v>142</v>
      </c>
      <c r="E247" s="14">
        <v>45170</v>
      </c>
      <c r="F247" s="15">
        <f>'Track Calo và Weight'!S5</f>
        <v>0</v>
      </c>
      <c r="G247" s="15">
        <f>'Track Calo và Weight'!T5</f>
        <v>0</v>
      </c>
      <c r="H247" s="22">
        <f ca="1">_xlfn.AGGREGATE(1,5,Calo[Calo Intake])</f>
        <v>2552.8214285714284</v>
      </c>
      <c r="I247" s="24">
        <f ca="1">_xlfn.AGGREGATE(1,5,Calo[Cân Nặng])</f>
        <v>70.607142857142861</v>
      </c>
    </row>
    <row r="248" spans="3:9" ht="15" hidden="1" x14ac:dyDescent="0.2">
      <c r="C248" s="3">
        <v>2</v>
      </c>
      <c r="D248" s="5" t="s">
        <v>142</v>
      </c>
      <c r="E248" s="7">
        <v>45171</v>
      </c>
      <c r="F248" s="4">
        <f>'Track Calo và Weight'!S6</f>
        <v>0</v>
      </c>
      <c r="G248" s="4">
        <f>'Track Calo và Weight'!T6</f>
        <v>0</v>
      </c>
      <c r="H248" s="22">
        <f ca="1">_xlfn.AGGREGATE(1,5,Calo[Calo Intake])</f>
        <v>2552.8214285714284</v>
      </c>
      <c r="I248" s="24">
        <f ca="1">_xlfn.AGGREGATE(1,5,Calo[Cân Nặng])</f>
        <v>70.607142857142861</v>
      </c>
    </row>
    <row r="249" spans="3:9" ht="15" hidden="1" x14ac:dyDescent="0.2">
      <c r="C249" s="3">
        <v>3</v>
      </c>
      <c r="D249" s="5" t="s">
        <v>142</v>
      </c>
      <c r="E249" s="7">
        <v>45172</v>
      </c>
      <c r="F249" s="4">
        <f>'Track Calo và Weight'!S7</f>
        <v>0</v>
      </c>
      <c r="G249" s="4">
        <f>'Track Calo và Weight'!T7</f>
        <v>0</v>
      </c>
      <c r="H249" s="22">
        <f ca="1">_xlfn.AGGREGATE(1,5,Calo[Calo Intake])</f>
        <v>2552.8214285714284</v>
      </c>
      <c r="I249" s="24">
        <f ca="1">_xlfn.AGGREGATE(1,5,Calo[Cân Nặng])</f>
        <v>70.607142857142861</v>
      </c>
    </row>
    <row r="250" spans="3:9" ht="15" hidden="1" x14ac:dyDescent="0.2">
      <c r="C250" s="3">
        <v>4</v>
      </c>
      <c r="D250" s="5" t="s">
        <v>142</v>
      </c>
      <c r="E250" s="7">
        <v>45173</v>
      </c>
      <c r="F250" s="4">
        <f>'Track Calo và Weight'!S8</f>
        <v>0</v>
      </c>
      <c r="G250" s="4">
        <f>'Track Calo và Weight'!T8</f>
        <v>0</v>
      </c>
      <c r="H250" s="22">
        <f ca="1">_xlfn.AGGREGATE(1,5,Calo[Calo Intake])</f>
        <v>2552.8214285714284</v>
      </c>
      <c r="I250" s="24">
        <f ca="1">_xlfn.AGGREGATE(1,5,Calo[Cân Nặng])</f>
        <v>70.607142857142861</v>
      </c>
    </row>
    <row r="251" spans="3:9" ht="15" hidden="1" x14ac:dyDescent="0.2">
      <c r="C251" s="3">
        <v>5</v>
      </c>
      <c r="D251" s="5" t="s">
        <v>142</v>
      </c>
      <c r="E251" s="7">
        <v>45174</v>
      </c>
      <c r="F251" s="4">
        <f>'Track Calo và Weight'!S9</f>
        <v>0</v>
      </c>
      <c r="G251" s="4">
        <f>'Track Calo và Weight'!T9</f>
        <v>0</v>
      </c>
      <c r="H251" s="22">
        <f ca="1">_xlfn.AGGREGATE(1,5,Calo[Calo Intake])</f>
        <v>2552.8214285714284</v>
      </c>
      <c r="I251" s="24">
        <f ca="1">_xlfn.AGGREGATE(1,5,Calo[Cân Nặng])</f>
        <v>70.607142857142861</v>
      </c>
    </row>
    <row r="252" spans="3:9" ht="15" hidden="1" x14ac:dyDescent="0.2">
      <c r="C252" s="3">
        <v>6</v>
      </c>
      <c r="D252" s="5" t="s">
        <v>142</v>
      </c>
      <c r="E252" s="7">
        <v>45175</v>
      </c>
      <c r="F252" s="4">
        <f>'Track Calo và Weight'!S10</f>
        <v>0</v>
      </c>
      <c r="G252" s="4">
        <f>'Track Calo và Weight'!T10</f>
        <v>0</v>
      </c>
      <c r="H252" s="22">
        <f ca="1">_xlfn.AGGREGATE(1,5,Calo[Calo Intake])</f>
        <v>2552.8214285714284</v>
      </c>
      <c r="I252" s="24">
        <f ca="1">_xlfn.AGGREGATE(1,5,Calo[Cân Nặng])</f>
        <v>70.607142857142861</v>
      </c>
    </row>
    <row r="253" spans="3:9" ht="15" hidden="1" x14ac:dyDescent="0.2">
      <c r="C253" s="3">
        <v>7</v>
      </c>
      <c r="D253" s="5" t="s">
        <v>142</v>
      </c>
      <c r="E253" s="7">
        <v>45176</v>
      </c>
      <c r="F253" s="4">
        <f>'Track Calo và Weight'!S11</f>
        <v>0</v>
      </c>
      <c r="G253" s="4">
        <f>'Track Calo và Weight'!T11</f>
        <v>0</v>
      </c>
      <c r="H253" s="22">
        <f ca="1">_xlfn.AGGREGATE(1,5,Calo[Calo Intake])</f>
        <v>2552.8214285714284</v>
      </c>
      <c r="I253" s="24">
        <f ca="1">_xlfn.AGGREGATE(1,5,Calo[Cân Nặng])</f>
        <v>70.607142857142861</v>
      </c>
    </row>
    <row r="254" spans="3:9" ht="15" hidden="1" x14ac:dyDescent="0.2">
      <c r="C254" s="3">
        <v>8</v>
      </c>
      <c r="D254" s="5" t="s">
        <v>142</v>
      </c>
      <c r="E254" s="7">
        <v>45177</v>
      </c>
      <c r="F254" s="4">
        <f>'Track Calo và Weight'!S12</f>
        <v>0</v>
      </c>
      <c r="G254" s="4">
        <f>'Track Calo và Weight'!T12</f>
        <v>0</v>
      </c>
      <c r="H254" s="22">
        <f ca="1">_xlfn.AGGREGATE(1,5,Calo[Calo Intake])</f>
        <v>2552.8214285714284</v>
      </c>
      <c r="I254" s="24">
        <f ca="1">_xlfn.AGGREGATE(1,5,Calo[Cân Nặng])</f>
        <v>70.607142857142861</v>
      </c>
    </row>
    <row r="255" spans="3:9" ht="15" hidden="1" x14ac:dyDescent="0.2">
      <c r="C255" s="3">
        <v>9</v>
      </c>
      <c r="D255" s="5" t="s">
        <v>142</v>
      </c>
      <c r="E255" s="7">
        <v>45178</v>
      </c>
      <c r="F255" s="4">
        <f>'Track Calo và Weight'!S13</f>
        <v>0</v>
      </c>
      <c r="G255" s="4">
        <f>'Track Calo và Weight'!T13</f>
        <v>0</v>
      </c>
      <c r="H255" s="22">
        <f ca="1">_xlfn.AGGREGATE(1,5,Calo[Calo Intake])</f>
        <v>2552.8214285714284</v>
      </c>
      <c r="I255" s="24">
        <f ca="1">_xlfn.AGGREGATE(1,5,Calo[Cân Nặng])</f>
        <v>70.607142857142861</v>
      </c>
    </row>
    <row r="256" spans="3:9" ht="15" hidden="1" x14ac:dyDescent="0.2">
      <c r="C256" s="3">
        <v>10</v>
      </c>
      <c r="D256" s="5" t="s">
        <v>142</v>
      </c>
      <c r="E256" s="7">
        <v>45179</v>
      </c>
      <c r="F256" s="4">
        <f>'Track Calo và Weight'!S14</f>
        <v>0</v>
      </c>
      <c r="G256" s="4">
        <f>'Track Calo và Weight'!T14</f>
        <v>0</v>
      </c>
      <c r="H256" s="22">
        <f ca="1">_xlfn.AGGREGATE(1,5,Calo[Calo Intake])</f>
        <v>2552.8214285714284</v>
      </c>
      <c r="I256" s="24">
        <f ca="1">_xlfn.AGGREGATE(1,5,Calo[Cân Nặng])</f>
        <v>70.607142857142861</v>
      </c>
    </row>
    <row r="257" spans="3:9" ht="15" hidden="1" x14ac:dyDescent="0.2">
      <c r="C257" s="3">
        <v>11</v>
      </c>
      <c r="D257" s="5" t="s">
        <v>142</v>
      </c>
      <c r="E257" s="7">
        <v>45180</v>
      </c>
      <c r="F257" s="4">
        <f>'Track Calo và Weight'!S15</f>
        <v>0</v>
      </c>
      <c r="G257" s="4">
        <f>'Track Calo và Weight'!T15</f>
        <v>0</v>
      </c>
      <c r="H257" s="22">
        <f ca="1">_xlfn.AGGREGATE(1,5,Calo[Calo Intake])</f>
        <v>2552.8214285714284</v>
      </c>
      <c r="I257" s="24">
        <f ca="1">_xlfn.AGGREGATE(1,5,Calo[Cân Nặng])</f>
        <v>70.607142857142861</v>
      </c>
    </row>
    <row r="258" spans="3:9" ht="15" hidden="1" x14ac:dyDescent="0.2">
      <c r="C258" s="3">
        <v>12</v>
      </c>
      <c r="D258" s="5" t="s">
        <v>142</v>
      </c>
      <c r="E258" s="7">
        <v>45181</v>
      </c>
      <c r="F258" s="4">
        <f>'Track Calo và Weight'!S16</f>
        <v>0</v>
      </c>
      <c r="G258" s="4">
        <f>'Track Calo và Weight'!T16</f>
        <v>0</v>
      </c>
      <c r="H258" s="22">
        <f ca="1">_xlfn.AGGREGATE(1,5,Calo[Calo Intake])</f>
        <v>2552.8214285714284</v>
      </c>
      <c r="I258" s="24">
        <f ca="1">_xlfn.AGGREGATE(1,5,Calo[Cân Nặng])</f>
        <v>70.607142857142861</v>
      </c>
    </row>
    <row r="259" spans="3:9" ht="15" hidden="1" x14ac:dyDescent="0.2">
      <c r="C259" s="3">
        <v>13</v>
      </c>
      <c r="D259" s="5" t="s">
        <v>142</v>
      </c>
      <c r="E259" s="7">
        <v>45182</v>
      </c>
      <c r="F259" s="4">
        <f>'Track Calo và Weight'!S17</f>
        <v>0</v>
      </c>
      <c r="G259" s="4">
        <f>'Track Calo và Weight'!T17</f>
        <v>0</v>
      </c>
      <c r="H259" s="22">
        <f ca="1">_xlfn.AGGREGATE(1,5,Calo[Calo Intake])</f>
        <v>2552.8214285714284</v>
      </c>
      <c r="I259" s="24">
        <f ca="1">_xlfn.AGGREGATE(1,5,Calo[Cân Nặng])</f>
        <v>70.607142857142861</v>
      </c>
    </row>
    <row r="260" spans="3:9" ht="15" hidden="1" x14ac:dyDescent="0.2">
      <c r="C260" s="3">
        <v>14</v>
      </c>
      <c r="D260" s="5" t="s">
        <v>142</v>
      </c>
      <c r="E260" s="7">
        <v>45183</v>
      </c>
      <c r="F260" s="4">
        <f>'Track Calo và Weight'!S18</f>
        <v>0</v>
      </c>
      <c r="G260" s="4">
        <f>'Track Calo và Weight'!T18</f>
        <v>0</v>
      </c>
      <c r="H260" s="22">
        <f ca="1">_xlfn.AGGREGATE(1,5,Calo[Calo Intake])</f>
        <v>2552.8214285714284</v>
      </c>
      <c r="I260" s="24">
        <f ca="1">_xlfn.AGGREGATE(1,5,Calo[Cân Nặng])</f>
        <v>70.607142857142861</v>
      </c>
    </row>
    <row r="261" spans="3:9" ht="15" hidden="1" x14ac:dyDescent="0.2">
      <c r="C261" s="3">
        <v>15</v>
      </c>
      <c r="D261" s="5" t="s">
        <v>142</v>
      </c>
      <c r="E261" s="7">
        <v>45184</v>
      </c>
      <c r="F261" s="4">
        <f>'Track Calo và Weight'!S19</f>
        <v>0</v>
      </c>
      <c r="G261" s="4">
        <f>'Track Calo và Weight'!T19</f>
        <v>0</v>
      </c>
      <c r="H261" s="22">
        <f ca="1">_xlfn.AGGREGATE(1,5,Calo[Calo Intake])</f>
        <v>2552.8214285714284</v>
      </c>
      <c r="I261" s="24">
        <f ca="1">_xlfn.AGGREGATE(1,5,Calo[Cân Nặng])</f>
        <v>70.607142857142861</v>
      </c>
    </row>
    <row r="262" spans="3:9" ht="15" hidden="1" x14ac:dyDescent="0.2">
      <c r="C262" s="3">
        <v>16</v>
      </c>
      <c r="D262" s="5" t="s">
        <v>142</v>
      </c>
      <c r="E262" s="7">
        <v>45185</v>
      </c>
      <c r="F262" s="4">
        <f>'Track Calo và Weight'!S20</f>
        <v>0</v>
      </c>
      <c r="G262" s="4">
        <f>'Track Calo và Weight'!T20</f>
        <v>0</v>
      </c>
      <c r="H262" s="22">
        <f ca="1">_xlfn.AGGREGATE(1,5,Calo[Calo Intake])</f>
        <v>2552.8214285714284</v>
      </c>
      <c r="I262" s="24">
        <f ca="1">_xlfn.AGGREGATE(1,5,Calo[Cân Nặng])</f>
        <v>70.607142857142861</v>
      </c>
    </row>
    <row r="263" spans="3:9" ht="15" hidden="1" x14ac:dyDescent="0.2">
      <c r="C263" s="3">
        <v>17</v>
      </c>
      <c r="D263" s="5" t="s">
        <v>142</v>
      </c>
      <c r="E263" s="7">
        <v>45186</v>
      </c>
      <c r="F263" s="4">
        <f>'Track Calo và Weight'!S21</f>
        <v>0</v>
      </c>
      <c r="G263" s="4">
        <f>'Track Calo và Weight'!T21</f>
        <v>0</v>
      </c>
      <c r="H263" s="22">
        <f ca="1">_xlfn.AGGREGATE(1,5,Calo[Calo Intake])</f>
        <v>2552.8214285714284</v>
      </c>
      <c r="I263" s="24">
        <f ca="1">_xlfn.AGGREGATE(1,5,Calo[Cân Nặng])</f>
        <v>70.607142857142861</v>
      </c>
    </row>
    <row r="264" spans="3:9" ht="15" hidden="1" x14ac:dyDescent="0.2">
      <c r="C264" s="3">
        <v>18</v>
      </c>
      <c r="D264" s="5" t="s">
        <v>142</v>
      </c>
      <c r="E264" s="7">
        <v>45187</v>
      </c>
      <c r="F264" s="4">
        <f>'Track Calo và Weight'!S22</f>
        <v>0</v>
      </c>
      <c r="G264" s="4">
        <f>'Track Calo và Weight'!T22</f>
        <v>0</v>
      </c>
      <c r="H264" s="22">
        <f ca="1">_xlfn.AGGREGATE(1,5,Calo[Calo Intake])</f>
        <v>2552.8214285714284</v>
      </c>
      <c r="I264" s="24">
        <f ca="1">_xlfn.AGGREGATE(1,5,Calo[Cân Nặng])</f>
        <v>70.607142857142861</v>
      </c>
    </row>
    <row r="265" spans="3:9" ht="15" hidden="1" x14ac:dyDescent="0.2">
      <c r="C265" s="3">
        <v>19</v>
      </c>
      <c r="D265" s="5" t="s">
        <v>142</v>
      </c>
      <c r="E265" s="7">
        <v>45188</v>
      </c>
      <c r="F265" s="4">
        <f>'Track Calo và Weight'!S23</f>
        <v>0</v>
      </c>
      <c r="G265" s="4">
        <f>'Track Calo và Weight'!T23</f>
        <v>0</v>
      </c>
      <c r="H265" s="22">
        <f ca="1">_xlfn.AGGREGATE(1,5,Calo[Calo Intake])</f>
        <v>2552.8214285714284</v>
      </c>
      <c r="I265" s="24">
        <f ca="1">_xlfn.AGGREGATE(1,5,Calo[Cân Nặng])</f>
        <v>70.607142857142861</v>
      </c>
    </row>
    <row r="266" spans="3:9" ht="15" hidden="1" x14ac:dyDescent="0.2">
      <c r="C266" s="3">
        <v>20</v>
      </c>
      <c r="D266" s="5" t="s">
        <v>142</v>
      </c>
      <c r="E266" s="7">
        <v>45189</v>
      </c>
      <c r="F266" s="4">
        <f>'Track Calo và Weight'!S24</f>
        <v>0</v>
      </c>
      <c r="G266" s="4">
        <f>'Track Calo và Weight'!T24</f>
        <v>0</v>
      </c>
      <c r="H266" s="22">
        <f ca="1">_xlfn.AGGREGATE(1,5,Calo[Calo Intake])</f>
        <v>2552.8214285714284</v>
      </c>
      <c r="I266" s="24">
        <f ca="1">_xlfn.AGGREGATE(1,5,Calo[Cân Nặng])</f>
        <v>70.607142857142861</v>
      </c>
    </row>
    <row r="267" spans="3:9" ht="15" hidden="1" x14ac:dyDescent="0.2">
      <c r="C267" s="3">
        <v>21</v>
      </c>
      <c r="D267" s="5" t="s">
        <v>142</v>
      </c>
      <c r="E267" s="7">
        <v>45190</v>
      </c>
      <c r="F267" s="4">
        <f>'Track Calo và Weight'!S25</f>
        <v>0</v>
      </c>
      <c r="G267" s="4">
        <f>'Track Calo và Weight'!T25</f>
        <v>0</v>
      </c>
      <c r="H267" s="22">
        <f ca="1">_xlfn.AGGREGATE(1,5,Calo[Calo Intake])</f>
        <v>2552.8214285714284</v>
      </c>
      <c r="I267" s="24">
        <f ca="1">_xlfn.AGGREGATE(1,5,Calo[Cân Nặng])</f>
        <v>70.607142857142861</v>
      </c>
    </row>
    <row r="268" spans="3:9" ht="15" hidden="1" x14ac:dyDescent="0.2">
      <c r="C268" s="3">
        <v>22</v>
      </c>
      <c r="D268" s="5" t="s">
        <v>142</v>
      </c>
      <c r="E268" s="7">
        <v>45191</v>
      </c>
      <c r="F268" s="4">
        <f>'Track Calo và Weight'!S26</f>
        <v>0</v>
      </c>
      <c r="G268" s="4">
        <f>'Track Calo và Weight'!T26</f>
        <v>0</v>
      </c>
      <c r="H268" s="22">
        <f ca="1">_xlfn.AGGREGATE(1,5,Calo[Calo Intake])</f>
        <v>2552.8214285714284</v>
      </c>
      <c r="I268" s="24">
        <f ca="1">_xlfn.AGGREGATE(1,5,Calo[Cân Nặng])</f>
        <v>70.607142857142861</v>
      </c>
    </row>
    <row r="269" spans="3:9" ht="15" hidden="1" x14ac:dyDescent="0.2">
      <c r="C269" s="3">
        <v>23</v>
      </c>
      <c r="D269" s="5" t="s">
        <v>142</v>
      </c>
      <c r="E269" s="7">
        <v>45192</v>
      </c>
      <c r="F269" s="4">
        <f>'Track Calo và Weight'!S27</f>
        <v>0</v>
      </c>
      <c r="G269" s="4">
        <f>'Track Calo và Weight'!T27</f>
        <v>0</v>
      </c>
      <c r="H269" s="22">
        <f ca="1">_xlfn.AGGREGATE(1,5,Calo[Calo Intake])</f>
        <v>2552.8214285714284</v>
      </c>
      <c r="I269" s="24">
        <f ca="1">_xlfn.AGGREGATE(1,5,Calo[Cân Nặng])</f>
        <v>70.607142857142861</v>
      </c>
    </row>
    <row r="270" spans="3:9" ht="15" hidden="1" x14ac:dyDescent="0.2">
      <c r="C270" s="3">
        <v>24</v>
      </c>
      <c r="D270" s="5" t="s">
        <v>142</v>
      </c>
      <c r="E270" s="7">
        <v>45193</v>
      </c>
      <c r="F270" s="4">
        <f>'Track Calo và Weight'!S28</f>
        <v>0</v>
      </c>
      <c r="G270" s="4">
        <f>'Track Calo và Weight'!T28</f>
        <v>0</v>
      </c>
      <c r="H270" s="22">
        <f ca="1">_xlfn.AGGREGATE(1,5,Calo[Calo Intake])</f>
        <v>2552.8214285714284</v>
      </c>
      <c r="I270" s="24">
        <f ca="1">_xlfn.AGGREGATE(1,5,Calo[Cân Nặng])</f>
        <v>70.607142857142861</v>
      </c>
    </row>
    <row r="271" spans="3:9" ht="15" hidden="1" x14ac:dyDescent="0.2">
      <c r="C271" s="3">
        <v>25</v>
      </c>
      <c r="D271" s="5" t="s">
        <v>142</v>
      </c>
      <c r="E271" s="7">
        <v>45194</v>
      </c>
      <c r="F271" s="4">
        <f>'Track Calo và Weight'!S29</f>
        <v>0</v>
      </c>
      <c r="G271" s="4">
        <f>'Track Calo và Weight'!T29</f>
        <v>0</v>
      </c>
      <c r="H271" s="22">
        <f ca="1">_xlfn.AGGREGATE(1,5,Calo[Calo Intake])</f>
        <v>2552.8214285714284</v>
      </c>
      <c r="I271" s="24">
        <f ca="1">_xlfn.AGGREGATE(1,5,Calo[Cân Nặng])</f>
        <v>70.607142857142861</v>
      </c>
    </row>
    <row r="272" spans="3:9" ht="15" hidden="1" x14ac:dyDescent="0.2">
      <c r="C272" s="3">
        <v>26</v>
      </c>
      <c r="D272" s="5" t="s">
        <v>142</v>
      </c>
      <c r="E272" s="7">
        <v>45195</v>
      </c>
      <c r="F272" s="4">
        <f>'Track Calo và Weight'!S30</f>
        <v>0</v>
      </c>
      <c r="G272" s="4">
        <f>'Track Calo và Weight'!T30</f>
        <v>0</v>
      </c>
      <c r="H272" s="22">
        <f ca="1">_xlfn.AGGREGATE(1,5,Calo[Calo Intake])</f>
        <v>2552.8214285714284</v>
      </c>
      <c r="I272" s="24">
        <f ca="1">_xlfn.AGGREGATE(1,5,Calo[Cân Nặng])</f>
        <v>70.607142857142861</v>
      </c>
    </row>
    <row r="273" spans="3:9" ht="15" hidden="1" x14ac:dyDescent="0.2">
      <c r="C273" s="3">
        <v>27</v>
      </c>
      <c r="D273" s="5" t="s">
        <v>142</v>
      </c>
      <c r="E273" s="7">
        <v>45196</v>
      </c>
      <c r="F273" s="4">
        <f>'Track Calo và Weight'!S31</f>
        <v>0</v>
      </c>
      <c r="G273" s="4">
        <f>'Track Calo và Weight'!T31</f>
        <v>0</v>
      </c>
      <c r="H273" s="22">
        <f ca="1">_xlfn.AGGREGATE(1,5,Calo[Calo Intake])</f>
        <v>2552.8214285714284</v>
      </c>
      <c r="I273" s="24">
        <f ca="1">_xlfn.AGGREGATE(1,5,Calo[Cân Nặng])</f>
        <v>70.607142857142861</v>
      </c>
    </row>
    <row r="274" spans="3:9" ht="15" hidden="1" x14ac:dyDescent="0.2">
      <c r="C274" s="3">
        <v>28</v>
      </c>
      <c r="D274" s="5" t="s">
        <v>142</v>
      </c>
      <c r="E274" s="7">
        <v>45197</v>
      </c>
      <c r="F274" s="4">
        <f>'Track Calo và Weight'!S32</f>
        <v>0</v>
      </c>
      <c r="G274" s="4">
        <f>'Track Calo và Weight'!T32</f>
        <v>0</v>
      </c>
      <c r="H274" s="22">
        <f ca="1">_xlfn.AGGREGATE(1,5,Calo[Calo Intake])</f>
        <v>2552.8214285714284</v>
      </c>
      <c r="I274" s="24">
        <f ca="1">_xlfn.AGGREGATE(1,5,Calo[Cân Nặng])</f>
        <v>70.607142857142861</v>
      </c>
    </row>
    <row r="275" spans="3:9" ht="15" hidden="1" x14ac:dyDescent="0.2">
      <c r="C275" s="3">
        <v>29</v>
      </c>
      <c r="D275" s="5" t="s">
        <v>142</v>
      </c>
      <c r="E275" s="7">
        <v>45198</v>
      </c>
      <c r="F275" s="4">
        <f>'Track Calo và Weight'!S33</f>
        <v>0</v>
      </c>
      <c r="G275" s="4">
        <f>'Track Calo và Weight'!T33</f>
        <v>0</v>
      </c>
      <c r="H275" s="22">
        <f ca="1">_xlfn.AGGREGATE(1,5,Calo[Calo Intake])</f>
        <v>2552.8214285714284</v>
      </c>
      <c r="I275" s="24">
        <f ca="1">_xlfn.AGGREGATE(1,5,Calo[Cân Nặng])</f>
        <v>70.607142857142861</v>
      </c>
    </row>
    <row r="276" spans="3:9" ht="15.75" hidden="1" thickBot="1" x14ac:dyDescent="0.25">
      <c r="C276" s="16">
        <v>30</v>
      </c>
      <c r="D276" s="17" t="s">
        <v>142</v>
      </c>
      <c r="E276" s="18">
        <v>45199</v>
      </c>
      <c r="F276" s="19">
        <f>'Track Calo và Weight'!S34</f>
        <v>0</v>
      </c>
      <c r="G276" s="19">
        <f>'Track Calo và Weight'!T34</f>
        <v>0</v>
      </c>
      <c r="H276" s="22">
        <f ca="1">_xlfn.AGGREGATE(1,5,Calo[Calo Intake])</f>
        <v>2552.8214285714284</v>
      </c>
      <c r="I276" s="24">
        <f ca="1">_xlfn.AGGREGATE(1,5,Calo[Cân Nặng])</f>
        <v>70.607142857142861</v>
      </c>
    </row>
    <row r="277" spans="3:9" ht="15" hidden="1" x14ac:dyDescent="0.2">
      <c r="C277" s="12">
        <v>1</v>
      </c>
      <c r="D277" s="13" t="s">
        <v>143</v>
      </c>
      <c r="E277" s="14">
        <v>45200</v>
      </c>
      <c r="F277" s="15">
        <f>'Track Calo và Weight'!U5</f>
        <v>0</v>
      </c>
      <c r="G277" s="15">
        <f>'Track Calo và Weight'!V5</f>
        <v>0</v>
      </c>
      <c r="H277" s="22">
        <f ca="1">_xlfn.AGGREGATE(1,5,Calo[Calo Intake])</f>
        <v>2552.8214285714284</v>
      </c>
      <c r="I277" s="24">
        <f ca="1">_xlfn.AGGREGATE(1,5,Calo[Cân Nặng])</f>
        <v>70.607142857142861</v>
      </c>
    </row>
    <row r="278" spans="3:9" ht="15" hidden="1" x14ac:dyDescent="0.2">
      <c r="C278" s="3">
        <v>2</v>
      </c>
      <c r="D278" s="5" t="s">
        <v>143</v>
      </c>
      <c r="E278" s="7">
        <v>45201</v>
      </c>
      <c r="F278" s="4">
        <f>'Track Calo và Weight'!U6</f>
        <v>0</v>
      </c>
      <c r="G278" s="4">
        <f>'Track Calo và Weight'!V6</f>
        <v>0</v>
      </c>
      <c r="H278" s="22">
        <f ca="1">_xlfn.AGGREGATE(1,5,Calo[Calo Intake])</f>
        <v>2552.8214285714284</v>
      </c>
      <c r="I278" s="24">
        <f ca="1">_xlfn.AGGREGATE(1,5,Calo[Cân Nặng])</f>
        <v>70.607142857142861</v>
      </c>
    </row>
    <row r="279" spans="3:9" ht="15" hidden="1" x14ac:dyDescent="0.2">
      <c r="C279" s="3">
        <v>3</v>
      </c>
      <c r="D279" s="5" t="s">
        <v>143</v>
      </c>
      <c r="E279" s="7">
        <v>45202</v>
      </c>
      <c r="F279" s="4">
        <f>'Track Calo và Weight'!U7</f>
        <v>0</v>
      </c>
      <c r="G279" s="4">
        <f>'Track Calo và Weight'!V7</f>
        <v>0</v>
      </c>
      <c r="H279" s="22">
        <f ca="1">_xlfn.AGGREGATE(1,5,Calo[Calo Intake])</f>
        <v>2552.8214285714284</v>
      </c>
      <c r="I279" s="24">
        <f ca="1">_xlfn.AGGREGATE(1,5,Calo[Cân Nặng])</f>
        <v>70.607142857142861</v>
      </c>
    </row>
    <row r="280" spans="3:9" ht="15" hidden="1" x14ac:dyDescent="0.2">
      <c r="C280" s="3">
        <v>4</v>
      </c>
      <c r="D280" s="5" t="s">
        <v>143</v>
      </c>
      <c r="E280" s="7">
        <v>45203</v>
      </c>
      <c r="F280" s="4">
        <f>'Track Calo và Weight'!U8</f>
        <v>0</v>
      </c>
      <c r="G280" s="4">
        <f>'Track Calo và Weight'!V8</f>
        <v>0</v>
      </c>
      <c r="H280" s="22">
        <f ca="1">_xlfn.AGGREGATE(1,5,Calo[Calo Intake])</f>
        <v>2552.8214285714284</v>
      </c>
      <c r="I280" s="24">
        <f ca="1">_xlfn.AGGREGATE(1,5,Calo[Cân Nặng])</f>
        <v>70.607142857142861</v>
      </c>
    </row>
    <row r="281" spans="3:9" ht="15" hidden="1" x14ac:dyDescent="0.2">
      <c r="C281" s="3">
        <v>5</v>
      </c>
      <c r="D281" s="5" t="s">
        <v>143</v>
      </c>
      <c r="E281" s="7">
        <v>45204</v>
      </c>
      <c r="F281" s="4">
        <f>'Track Calo và Weight'!U9</f>
        <v>0</v>
      </c>
      <c r="G281" s="4">
        <f>'Track Calo và Weight'!V9</f>
        <v>0</v>
      </c>
      <c r="H281" s="22">
        <f ca="1">_xlfn.AGGREGATE(1,5,Calo[Calo Intake])</f>
        <v>2552.8214285714284</v>
      </c>
      <c r="I281" s="24">
        <f ca="1">_xlfn.AGGREGATE(1,5,Calo[Cân Nặng])</f>
        <v>70.607142857142861</v>
      </c>
    </row>
    <row r="282" spans="3:9" ht="15" hidden="1" x14ac:dyDescent="0.2">
      <c r="C282" s="3">
        <v>6</v>
      </c>
      <c r="D282" s="5" t="s">
        <v>143</v>
      </c>
      <c r="E282" s="7">
        <v>45205</v>
      </c>
      <c r="F282" s="4">
        <f>'Track Calo và Weight'!U10</f>
        <v>0</v>
      </c>
      <c r="G282" s="4">
        <f>'Track Calo và Weight'!V10</f>
        <v>0</v>
      </c>
      <c r="H282" s="22">
        <f ca="1">_xlfn.AGGREGATE(1,5,Calo[Calo Intake])</f>
        <v>2552.8214285714284</v>
      </c>
      <c r="I282" s="24">
        <f ca="1">_xlfn.AGGREGATE(1,5,Calo[Cân Nặng])</f>
        <v>70.607142857142861</v>
      </c>
    </row>
    <row r="283" spans="3:9" ht="15" hidden="1" x14ac:dyDescent="0.2">
      <c r="C283" s="3">
        <v>7</v>
      </c>
      <c r="D283" s="5" t="s">
        <v>143</v>
      </c>
      <c r="E283" s="7">
        <v>45206</v>
      </c>
      <c r="F283" s="4">
        <f>'Track Calo và Weight'!U11</f>
        <v>0</v>
      </c>
      <c r="G283" s="4">
        <f>'Track Calo và Weight'!V11</f>
        <v>0</v>
      </c>
      <c r="H283" s="22">
        <f ca="1">_xlfn.AGGREGATE(1,5,Calo[Calo Intake])</f>
        <v>2552.8214285714284</v>
      </c>
      <c r="I283" s="24">
        <f ca="1">_xlfn.AGGREGATE(1,5,Calo[Cân Nặng])</f>
        <v>70.607142857142861</v>
      </c>
    </row>
    <row r="284" spans="3:9" ht="15" hidden="1" x14ac:dyDescent="0.2">
      <c r="C284" s="3">
        <v>8</v>
      </c>
      <c r="D284" s="5" t="s">
        <v>143</v>
      </c>
      <c r="E284" s="7">
        <v>45207</v>
      </c>
      <c r="F284" s="4">
        <f>'Track Calo và Weight'!U12</f>
        <v>0</v>
      </c>
      <c r="G284" s="4">
        <f>'Track Calo và Weight'!V12</f>
        <v>0</v>
      </c>
      <c r="H284" s="22">
        <f ca="1">_xlfn.AGGREGATE(1,5,Calo[Calo Intake])</f>
        <v>2552.8214285714284</v>
      </c>
      <c r="I284" s="24">
        <f ca="1">_xlfn.AGGREGATE(1,5,Calo[Cân Nặng])</f>
        <v>70.607142857142861</v>
      </c>
    </row>
    <row r="285" spans="3:9" ht="15" hidden="1" x14ac:dyDescent="0.2">
      <c r="C285" s="3">
        <v>9</v>
      </c>
      <c r="D285" s="5" t="s">
        <v>143</v>
      </c>
      <c r="E285" s="7">
        <v>45208</v>
      </c>
      <c r="F285" s="4">
        <f>'Track Calo và Weight'!U13</f>
        <v>0</v>
      </c>
      <c r="G285" s="4">
        <f>'Track Calo và Weight'!V13</f>
        <v>0</v>
      </c>
      <c r="H285" s="22">
        <f ca="1">_xlfn.AGGREGATE(1,5,Calo[Calo Intake])</f>
        <v>2552.8214285714284</v>
      </c>
      <c r="I285" s="24">
        <f ca="1">_xlfn.AGGREGATE(1,5,Calo[Cân Nặng])</f>
        <v>70.607142857142861</v>
      </c>
    </row>
    <row r="286" spans="3:9" ht="15" hidden="1" x14ac:dyDescent="0.2">
      <c r="C286" s="3">
        <v>10</v>
      </c>
      <c r="D286" s="5" t="s">
        <v>143</v>
      </c>
      <c r="E286" s="7">
        <v>45209</v>
      </c>
      <c r="F286" s="4">
        <f>'Track Calo và Weight'!U14</f>
        <v>0</v>
      </c>
      <c r="G286" s="4">
        <f>'Track Calo và Weight'!V14</f>
        <v>0</v>
      </c>
      <c r="H286" s="22">
        <f ca="1">_xlfn.AGGREGATE(1,5,Calo[Calo Intake])</f>
        <v>2552.8214285714284</v>
      </c>
      <c r="I286" s="24">
        <f ca="1">_xlfn.AGGREGATE(1,5,Calo[Cân Nặng])</f>
        <v>70.607142857142861</v>
      </c>
    </row>
    <row r="287" spans="3:9" ht="15" hidden="1" x14ac:dyDescent="0.2">
      <c r="C287" s="3">
        <v>11</v>
      </c>
      <c r="D287" s="5" t="s">
        <v>143</v>
      </c>
      <c r="E287" s="7">
        <v>45210</v>
      </c>
      <c r="F287" s="4">
        <f>'Track Calo và Weight'!U15</f>
        <v>0</v>
      </c>
      <c r="G287" s="4">
        <f>'Track Calo và Weight'!V15</f>
        <v>0</v>
      </c>
      <c r="H287" s="22">
        <f ca="1">_xlfn.AGGREGATE(1,5,Calo[Calo Intake])</f>
        <v>2552.8214285714284</v>
      </c>
      <c r="I287" s="24">
        <f ca="1">_xlfn.AGGREGATE(1,5,Calo[Cân Nặng])</f>
        <v>70.607142857142861</v>
      </c>
    </row>
    <row r="288" spans="3:9" ht="15" hidden="1" x14ac:dyDescent="0.2">
      <c r="C288" s="3">
        <v>12</v>
      </c>
      <c r="D288" s="5" t="s">
        <v>143</v>
      </c>
      <c r="E288" s="7">
        <v>45211</v>
      </c>
      <c r="F288" s="4">
        <f>'Track Calo và Weight'!U16</f>
        <v>0</v>
      </c>
      <c r="G288" s="4">
        <f>'Track Calo và Weight'!V16</f>
        <v>0</v>
      </c>
      <c r="H288" s="22">
        <f ca="1">_xlfn.AGGREGATE(1,5,Calo[Calo Intake])</f>
        <v>2552.8214285714284</v>
      </c>
      <c r="I288" s="24">
        <f ca="1">_xlfn.AGGREGATE(1,5,Calo[Cân Nặng])</f>
        <v>70.607142857142861</v>
      </c>
    </row>
    <row r="289" spans="3:9" ht="15" hidden="1" x14ac:dyDescent="0.2">
      <c r="C289" s="3">
        <v>13</v>
      </c>
      <c r="D289" s="5" t="s">
        <v>143</v>
      </c>
      <c r="E289" s="7">
        <v>45212</v>
      </c>
      <c r="F289" s="4">
        <f>'Track Calo và Weight'!U17</f>
        <v>0</v>
      </c>
      <c r="G289" s="4">
        <f>'Track Calo và Weight'!V17</f>
        <v>0</v>
      </c>
      <c r="H289" s="22">
        <f ca="1">_xlfn.AGGREGATE(1,5,Calo[Calo Intake])</f>
        <v>2552.8214285714284</v>
      </c>
      <c r="I289" s="24">
        <f ca="1">_xlfn.AGGREGATE(1,5,Calo[Cân Nặng])</f>
        <v>70.607142857142861</v>
      </c>
    </row>
    <row r="290" spans="3:9" ht="15" hidden="1" x14ac:dyDescent="0.2">
      <c r="C290" s="3">
        <v>14</v>
      </c>
      <c r="D290" s="5" t="s">
        <v>143</v>
      </c>
      <c r="E290" s="7">
        <v>45213</v>
      </c>
      <c r="F290" s="4">
        <f>'Track Calo và Weight'!U18</f>
        <v>0</v>
      </c>
      <c r="G290" s="4">
        <f>'Track Calo và Weight'!V18</f>
        <v>0</v>
      </c>
      <c r="H290" s="22">
        <f ca="1">_xlfn.AGGREGATE(1,5,Calo[Calo Intake])</f>
        <v>2552.8214285714284</v>
      </c>
      <c r="I290" s="24">
        <f ca="1">_xlfn.AGGREGATE(1,5,Calo[Cân Nặng])</f>
        <v>70.607142857142861</v>
      </c>
    </row>
    <row r="291" spans="3:9" ht="15" hidden="1" x14ac:dyDescent="0.2">
      <c r="C291" s="3">
        <v>15</v>
      </c>
      <c r="D291" s="5" t="s">
        <v>143</v>
      </c>
      <c r="E291" s="7">
        <v>45214</v>
      </c>
      <c r="F291" s="4">
        <f>'Track Calo và Weight'!U19</f>
        <v>0</v>
      </c>
      <c r="G291" s="4">
        <f>'Track Calo và Weight'!V19</f>
        <v>0</v>
      </c>
      <c r="H291" s="22">
        <f ca="1">_xlfn.AGGREGATE(1,5,Calo[Calo Intake])</f>
        <v>2552.8214285714284</v>
      </c>
      <c r="I291" s="24">
        <f ca="1">_xlfn.AGGREGATE(1,5,Calo[Cân Nặng])</f>
        <v>70.607142857142861</v>
      </c>
    </row>
    <row r="292" spans="3:9" ht="15" hidden="1" x14ac:dyDescent="0.2">
      <c r="C292" s="3">
        <v>16</v>
      </c>
      <c r="D292" s="5" t="s">
        <v>143</v>
      </c>
      <c r="E292" s="7">
        <v>45215</v>
      </c>
      <c r="F292" s="4">
        <f>'Track Calo và Weight'!U20</f>
        <v>0</v>
      </c>
      <c r="G292" s="4">
        <f>'Track Calo và Weight'!V20</f>
        <v>0</v>
      </c>
      <c r="H292" s="22">
        <f ca="1">_xlfn.AGGREGATE(1,5,Calo[Calo Intake])</f>
        <v>2552.8214285714284</v>
      </c>
      <c r="I292" s="24">
        <f ca="1">_xlfn.AGGREGATE(1,5,Calo[Cân Nặng])</f>
        <v>70.607142857142861</v>
      </c>
    </row>
    <row r="293" spans="3:9" ht="15" hidden="1" x14ac:dyDescent="0.2">
      <c r="C293" s="3">
        <v>17</v>
      </c>
      <c r="D293" s="5" t="s">
        <v>143</v>
      </c>
      <c r="E293" s="7">
        <v>45216</v>
      </c>
      <c r="F293" s="4">
        <f>'Track Calo và Weight'!U21</f>
        <v>0</v>
      </c>
      <c r="G293" s="4">
        <f>'Track Calo và Weight'!V21</f>
        <v>0</v>
      </c>
      <c r="H293" s="22">
        <f ca="1">_xlfn.AGGREGATE(1,5,Calo[Calo Intake])</f>
        <v>2552.8214285714284</v>
      </c>
      <c r="I293" s="24">
        <f ca="1">_xlfn.AGGREGATE(1,5,Calo[Cân Nặng])</f>
        <v>70.607142857142861</v>
      </c>
    </row>
    <row r="294" spans="3:9" ht="15" hidden="1" x14ac:dyDescent="0.2">
      <c r="C294" s="3">
        <v>18</v>
      </c>
      <c r="D294" s="5" t="s">
        <v>143</v>
      </c>
      <c r="E294" s="7">
        <v>45217</v>
      </c>
      <c r="F294" s="4">
        <f>'Track Calo và Weight'!U22</f>
        <v>0</v>
      </c>
      <c r="G294" s="4">
        <f>'Track Calo và Weight'!V22</f>
        <v>0</v>
      </c>
      <c r="H294" s="22">
        <f ca="1">_xlfn.AGGREGATE(1,5,Calo[Calo Intake])</f>
        <v>2552.8214285714284</v>
      </c>
      <c r="I294" s="24">
        <f ca="1">_xlfn.AGGREGATE(1,5,Calo[Cân Nặng])</f>
        <v>70.607142857142861</v>
      </c>
    </row>
    <row r="295" spans="3:9" ht="15" hidden="1" x14ac:dyDescent="0.2">
      <c r="C295" s="3">
        <v>19</v>
      </c>
      <c r="D295" s="5" t="s">
        <v>143</v>
      </c>
      <c r="E295" s="7">
        <v>45218</v>
      </c>
      <c r="F295" s="4">
        <f>'Track Calo và Weight'!U23</f>
        <v>0</v>
      </c>
      <c r="G295" s="4">
        <f>'Track Calo và Weight'!V23</f>
        <v>0</v>
      </c>
      <c r="H295" s="22">
        <f ca="1">_xlfn.AGGREGATE(1,5,Calo[Calo Intake])</f>
        <v>2552.8214285714284</v>
      </c>
      <c r="I295" s="24">
        <f ca="1">_xlfn.AGGREGATE(1,5,Calo[Cân Nặng])</f>
        <v>70.607142857142861</v>
      </c>
    </row>
    <row r="296" spans="3:9" ht="15" hidden="1" x14ac:dyDescent="0.2">
      <c r="C296" s="3">
        <v>20</v>
      </c>
      <c r="D296" s="5" t="s">
        <v>143</v>
      </c>
      <c r="E296" s="7">
        <v>45219</v>
      </c>
      <c r="F296" s="4">
        <f>'Track Calo và Weight'!U24</f>
        <v>0</v>
      </c>
      <c r="G296" s="4">
        <f>'Track Calo và Weight'!V24</f>
        <v>0</v>
      </c>
      <c r="H296" s="22">
        <f ca="1">_xlfn.AGGREGATE(1,5,Calo[Calo Intake])</f>
        <v>2552.8214285714284</v>
      </c>
      <c r="I296" s="24">
        <f ca="1">_xlfn.AGGREGATE(1,5,Calo[Cân Nặng])</f>
        <v>70.607142857142861</v>
      </c>
    </row>
    <row r="297" spans="3:9" ht="15" hidden="1" x14ac:dyDescent="0.2">
      <c r="C297" s="3">
        <v>21</v>
      </c>
      <c r="D297" s="5" t="s">
        <v>143</v>
      </c>
      <c r="E297" s="7">
        <v>45220</v>
      </c>
      <c r="F297" s="4">
        <f>'Track Calo và Weight'!U25</f>
        <v>0</v>
      </c>
      <c r="G297" s="4">
        <f>'Track Calo và Weight'!V25</f>
        <v>0</v>
      </c>
      <c r="H297" s="22">
        <f ca="1">_xlfn.AGGREGATE(1,5,Calo[Calo Intake])</f>
        <v>2552.8214285714284</v>
      </c>
      <c r="I297" s="24">
        <f ca="1">_xlfn.AGGREGATE(1,5,Calo[Cân Nặng])</f>
        <v>70.607142857142861</v>
      </c>
    </row>
    <row r="298" spans="3:9" ht="15" hidden="1" x14ac:dyDescent="0.2">
      <c r="C298" s="3">
        <v>22</v>
      </c>
      <c r="D298" s="5" t="s">
        <v>143</v>
      </c>
      <c r="E298" s="7">
        <v>45221</v>
      </c>
      <c r="F298" s="4">
        <f>'Track Calo và Weight'!U26</f>
        <v>0</v>
      </c>
      <c r="G298" s="4">
        <f>'Track Calo và Weight'!V26</f>
        <v>0</v>
      </c>
      <c r="H298" s="22">
        <f ca="1">_xlfn.AGGREGATE(1,5,Calo[Calo Intake])</f>
        <v>2552.8214285714284</v>
      </c>
      <c r="I298" s="24">
        <f ca="1">_xlfn.AGGREGATE(1,5,Calo[Cân Nặng])</f>
        <v>70.607142857142861</v>
      </c>
    </row>
    <row r="299" spans="3:9" ht="15" hidden="1" x14ac:dyDescent="0.2">
      <c r="C299" s="3">
        <v>23</v>
      </c>
      <c r="D299" s="5" t="s">
        <v>143</v>
      </c>
      <c r="E299" s="7">
        <v>45222</v>
      </c>
      <c r="F299" s="4">
        <f>'Track Calo và Weight'!U27</f>
        <v>0</v>
      </c>
      <c r="G299" s="4">
        <f>'Track Calo và Weight'!V27</f>
        <v>0</v>
      </c>
      <c r="H299" s="22">
        <f ca="1">_xlfn.AGGREGATE(1,5,Calo[Calo Intake])</f>
        <v>2552.8214285714284</v>
      </c>
      <c r="I299" s="24">
        <f ca="1">_xlfn.AGGREGATE(1,5,Calo[Cân Nặng])</f>
        <v>70.607142857142861</v>
      </c>
    </row>
    <row r="300" spans="3:9" ht="15" hidden="1" x14ac:dyDescent="0.2">
      <c r="C300" s="3">
        <v>24</v>
      </c>
      <c r="D300" s="5" t="s">
        <v>143</v>
      </c>
      <c r="E300" s="7">
        <v>45223</v>
      </c>
      <c r="F300" s="4">
        <f>'Track Calo và Weight'!U28</f>
        <v>0</v>
      </c>
      <c r="G300" s="4">
        <f>'Track Calo và Weight'!V28</f>
        <v>0</v>
      </c>
      <c r="H300" s="22">
        <f ca="1">_xlfn.AGGREGATE(1,5,Calo[Calo Intake])</f>
        <v>2552.8214285714284</v>
      </c>
      <c r="I300" s="24">
        <f ca="1">_xlfn.AGGREGATE(1,5,Calo[Cân Nặng])</f>
        <v>70.607142857142861</v>
      </c>
    </row>
    <row r="301" spans="3:9" ht="15" hidden="1" x14ac:dyDescent="0.2">
      <c r="C301" s="3">
        <v>25</v>
      </c>
      <c r="D301" s="5" t="s">
        <v>143</v>
      </c>
      <c r="E301" s="7">
        <v>45224</v>
      </c>
      <c r="F301" s="4">
        <f>'Track Calo và Weight'!U29</f>
        <v>0</v>
      </c>
      <c r="G301" s="4">
        <f>'Track Calo và Weight'!V29</f>
        <v>0</v>
      </c>
      <c r="H301" s="22">
        <f ca="1">_xlfn.AGGREGATE(1,5,Calo[Calo Intake])</f>
        <v>2552.8214285714284</v>
      </c>
      <c r="I301" s="24">
        <f ca="1">_xlfn.AGGREGATE(1,5,Calo[Cân Nặng])</f>
        <v>70.607142857142861</v>
      </c>
    </row>
    <row r="302" spans="3:9" ht="15" hidden="1" x14ac:dyDescent="0.2">
      <c r="C302" s="3">
        <v>26</v>
      </c>
      <c r="D302" s="5" t="s">
        <v>143</v>
      </c>
      <c r="E302" s="7">
        <v>45225</v>
      </c>
      <c r="F302" s="4">
        <f>'Track Calo và Weight'!U30</f>
        <v>0</v>
      </c>
      <c r="G302" s="4">
        <f>'Track Calo và Weight'!V30</f>
        <v>0</v>
      </c>
      <c r="H302" s="22">
        <f ca="1">_xlfn.AGGREGATE(1,5,Calo[Calo Intake])</f>
        <v>2552.8214285714284</v>
      </c>
      <c r="I302" s="24">
        <f ca="1">_xlfn.AGGREGATE(1,5,Calo[Cân Nặng])</f>
        <v>70.607142857142861</v>
      </c>
    </row>
    <row r="303" spans="3:9" ht="15" hidden="1" x14ac:dyDescent="0.2">
      <c r="C303" s="3">
        <v>27</v>
      </c>
      <c r="D303" s="5" t="s">
        <v>143</v>
      </c>
      <c r="E303" s="7">
        <v>45226</v>
      </c>
      <c r="F303" s="4">
        <f>'Track Calo và Weight'!U31</f>
        <v>0</v>
      </c>
      <c r="G303" s="4">
        <f>'Track Calo và Weight'!V31</f>
        <v>0</v>
      </c>
      <c r="H303" s="22">
        <f ca="1">_xlfn.AGGREGATE(1,5,Calo[Calo Intake])</f>
        <v>2552.8214285714284</v>
      </c>
      <c r="I303" s="24">
        <f ca="1">_xlfn.AGGREGATE(1,5,Calo[Cân Nặng])</f>
        <v>70.607142857142861</v>
      </c>
    </row>
    <row r="304" spans="3:9" ht="15" hidden="1" x14ac:dyDescent="0.2">
      <c r="C304" s="3">
        <v>28</v>
      </c>
      <c r="D304" s="5" t="s">
        <v>143</v>
      </c>
      <c r="E304" s="7">
        <v>45227</v>
      </c>
      <c r="F304" s="4">
        <f>'Track Calo và Weight'!U32</f>
        <v>0</v>
      </c>
      <c r="G304" s="4">
        <f>'Track Calo và Weight'!V32</f>
        <v>0</v>
      </c>
      <c r="H304" s="22">
        <f ca="1">_xlfn.AGGREGATE(1,5,Calo[Calo Intake])</f>
        <v>2552.8214285714284</v>
      </c>
      <c r="I304" s="24">
        <f ca="1">_xlfn.AGGREGATE(1,5,Calo[Cân Nặng])</f>
        <v>70.607142857142861</v>
      </c>
    </row>
    <row r="305" spans="3:9" ht="15" hidden="1" x14ac:dyDescent="0.2">
      <c r="C305" s="3">
        <v>29</v>
      </c>
      <c r="D305" s="5" t="s">
        <v>143</v>
      </c>
      <c r="E305" s="7">
        <v>45228</v>
      </c>
      <c r="F305" s="4">
        <f>'Track Calo và Weight'!U33</f>
        <v>0</v>
      </c>
      <c r="G305" s="4">
        <f>'Track Calo và Weight'!V33</f>
        <v>0</v>
      </c>
      <c r="H305" s="22">
        <f ca="1">_xlfn.AGGREGATE(1,5,Calo[Calo Intake])</f>
        <v>2552.8214285714284</v>
      </c>
      <c r="I305" s="24">
        <f ca="1">_xlfn.AGGREGATE(1,5,Calo[Cân Nặng])</f>
        <v>70.607142857142861</v>
      </c>
    </row>
    <row r="306" spans="3:9" ht="15" hidden="1" x14ac:dyDescent="0.2">
      <c r="C306" s="3">
        <v>30</v>
      </c>
      <c r="D306" s="5" t="s">
        <v>143</v>
      </c>
      <c r="E306" s="7">
        <v>45229</v>
      </c>
      <c r="F306" s="4">
        <f>'Track Calo và Weight'!U34</f>
        <v>0</v>
      </c>
      <c r="G306" s="4">
        <f>'Track Calo và Weight'!V34</f>
        <v>0</v>
      </c>
      <c r="H306" s="22">
        <f ca="1">_xlfn.AGGREGATE(1,5,Calo[Calo Intake])</f>
        <v>2552.8214285714284</v>
      </c>
      <c r="I306" s="24">
        <f ca="1">_xlfn.AGGREGATE(1,5,Calo[Cân Nặng])</f>
        <v>70.607142857142861</v>
      </c>
    </row>
    <row r="307" spans="3:9" ht="15.75" hidden="1" thickBot="1" x14ac:dyDescent="0.25">
      <c r="C307" s="16">
        <v>31</v>
      </c>
      <c r="D307" s="17" t="s">
        <v>143</v>
      </c>
      <c r="E307" s="18">
        <v>45230</v>
      </c>
      <c r="F307" s="19">
        <f>'Track Calo và Weight'!U35</f>
        <v>0</v>
      </c>
      <c r="G307" s="19">
        <f>'Track Calo và Weight'!V35</f>
        <v>0</v>
      </c>
      <c r="H307" s="22">
        <f ca="1">_xlfn.AGGREGATE(1,5,Calo[Calo Intake])</f>
        <v>2552.8214285714284</v>
      </c>
      <c r="I307" s="24">
        <f ca="1">_xlfn.AGGREGATE(1,5,Calo[Cân Nặng])</f>
        <v>70.607142857142861</v>
      </c>
    </row>
    <row r="308" spans="3:9" ht="15" hidden="1" x14ac:dyDescent="0.2">
      <c r="C308" s="12">
        <v>1</v>
      </c>
      <c r="D308" s="13" t="s">
        <v>144</v>
      </c>
      <c r="E308" s="14">
        <v>45231</v>
      </c>
      <c r="F308" s="15">
        <f>'Track Calo và Weight'!W5</f>
        <v>0</v>
      </c>
      <c r="G308" s="15">
        <f>'Track Calo và Weight'!X5</f>
        <v>0</v>
      </c>
      <c r="H308" s="22">
        <f ca="1">_xlfn.AGGREGATE(1,5,Calo[Calo Intake])</f>
        <v>2552.8214285714284</v>
      </c>
      <c r="I308" s="24">
        <f ca="1">_xlfn.AGGREGATE(1,5,Calo[Cân Nặng])</f>
        <v>70.607142857142861</v>
      </c>
    </row>
    <row r="309" spans="3:9" ht="15" hidden="1" x14ac:dyDescent="0.2">
      <c r="C309" s="3">
        <v>2</v>
      </c>
      <c r="D309" s="5" t="s">
        <v>144</v>
      </c>
      <c r="E309" s="7">
        <v>45232</v>
      </c>
      <c r="F309" s="4">
        <f>'Track Calo và Weight'!W6</f>
        <v>0</v>
      </c>
      <c r="G309" s="4">
        <f>'Track Calo và Weight'!X6</f>
        <v>0</v>
      </c>
      <c r="H309" s="22">
        <f ca="1">_xlfn.AGGREGATE(1,5,Calo[Calo Intake])</f>
        <v>2552.8214285714284</v>
      </c>
      <c r="I309" s="24">
        <f ca="1">_xlfn.AGGREGATE(1,5,Calo[Cân Nặng])</f>
        <v>70.607142857142861</v>
      </c>
    </row>
    <row r="310" spans="3:9" ht="15" hidden="1" x14ac:dyDescent="0.2">
      <c r="C310" s="3">
        <v>3</v>
      </c>
      <c r="D310" s="5" t="s">
        <v>144</v>
      </c>
      <c r="E310" s="7">
        <v>45233</v>
      </c>
      <c r="F310" s="4">
        <f>'Track Calo và Weight'!W7</f>
        <v>0</v>
      </c>
      <c r="G310" s="4">
        <f>'Track Calo và Weight'!X7</f>
        <v>0</v>
      </c>
      <c r="H310" s="22">
        <f ca="1">_xlfn.AGGREGATE(1,5,Calo[Calo Intake])</f>
        <v>2552.8214285714284</v>
      </c>
      <c r="I310" s="24">
        <f ca="1">_xlfn.AGGREGATE(1,5,Calo[Cân Nặng])</f>
        <v>70.607142857142861</v>
      </c>
    </row>
    <row r="311" spans="3:9" ht="15" hidden="1" x14ac:dyDescent="0.2">
      <c r="C311" s="3">
        <v>4</v>
      </c>
      <c r="D311" s="5" t="s">
        <v>144</v>
      </c>
      <c r="E311" s="7">
        <v>45234</v>
      </c>
      <c r="F311" s="4">
        <f>'Track Calo và Weight'!W8</f>
        <v>0</v>
      </c>
      <c r="G311" s="4">
        <f>'Track Calo và Weight'!X8</f>
        <v>0</v>
      </c>
      <c r="H311" s="22">
        <f ca="1">_xlfn.AGGREGATE(1,5,Calo[Calo Intake])</f>
        <v>2552.8214285714284</v>
      </c>
      <c r="I311" s="24">
        <f ca="1">_xlfn.AGGREGATE(1,5,Calo[Cân Nặng])</f>
        <v>70.607142857142861</v>
      </c>
    </row>
    <row r="312" spans="3:9" ht="15" hidden="1" x14ac:dyDescent="0.2">
      <c r="C312" s="3">
        <v>5</v>
      </c>
      <c r="D312" s="5" t="s">
        <v>144</v>
      </c>
      <c r="E312" s="7">
        <v>45235</v>
      </c>
      <c r="F312" s="4">
        <f>'Track Calo và Weight'!W9</f>
        <v>0</v>
      </c>
      <c r="G312" s="4">
        <f>'Track Calo và Weight'!X9</f>
        <v>0</v>
      </c>
      <c r="H312" s="22">
        <f ca="1">_xlfn.AGGREGATE(1,5,Calo[Calo Intake])</f>
        <v>2552.8214285714284</v>
      </c>
      <c r="I312" s="24">
        <f ca="1">_xlfn.AGGREGATE(1,5,Calo[Cân Nặng])</f>
        <v>70.607142857142861</v>
      </c>
    </row>
    <row r="313" spans="3:9" ht="15" hidden="1" x14ac:dyDescent="0.2">
      <c r="C313" s="3">
        <v>6</v>
      </c>
      <c r="D313" s="5" t="s">
        <v>144</v>
      </c>
      <c r="E313" s="7">
        <v>45236</v>
      </c>
      <c r="F313" s="4">
        <f>'Track Calo và Weight'!W10</f>
        <v>0</v>
      </c>
      <c r="G313" s="4">
        <f>'Track Calo và Weight'!X10</f>
        <v>0</v>
      </c>
      <c r="H313" s="22">
        <f ca="1">_xlfn.AGGREGATE(1,5,Calo[Calo Intake])</f>
        <v>2552.8214285714284</v>
      </c>
      <c r="I313" s="24">
        <f ca="1">_xlfn.AGGREGATE(1,5,Calo[Cân Nặng])</f>
        <v>70.607142857142861</v>
      </c>
    </row>
    <row r="314" spans="3:9" ht="15" hidden="1" x14ac:dyDescent="0.2">
      <c r="C314" s="3">
        <v>7</v>
      </c>
      <c r="D314" s="5" t="s">
        <v>144</v>
      </c>
      <c r="E314" s="7">
        <v>45237</v>
      </c>
      <c r="F314" s="4">
        <f>'Track Calo và Weight'!W11</f>
        <v>0</v>
      </c>
      <c r="G314" s="4">
        <f>'Track Calo và Weight'!X11</f>
        <v>0</v>
      </c>
      <c r="H314" s="22">
        <f ca="1">_xlfn.AGGREGATE(1,5,Calo[Calo Intake])</f>
        <v>2552.8214285714284</v>
      </c>
      <c r="I314" s="24">
        <f ca="1">_xlfn.AGGREGATE(1,5,Calo[Cân Nặng])</f>
        <v>70.607142857142861</v>
      </c>
    </row>
    <row r="315" spans="3:9" ht="15" hidden="1" x14ac:dyDescent="0.2">
      <c r="C315" s="3">
        <v>8</v>
      </c>
      <c r="D315" s="5" t="s">
        <v>144</v>
      </c>
      <c r="E315" s="7">
        <v>45238</v>
      </c>
      <c r="F315" s="4">
        <f>'Track Calo và Weight'!W12</f>
        <v>0</v>
      </c>
      <c r="G315" s="4">
        <f>'Track Calo và Weight'!X12</f>
        <v>0</v>
      </c>
      <c r="H315" s="22">
        <f ca="1">_xlfn.AGGREGATE(1,5,Calo[Calo Intake])</f>
        <v>2552.8214285714284</v>
      </c>
      <c r="I315" s="24">
        <f ca="1">_xlfn.AGGREGATE(1,5,Calo[Cân Nặng])</f>
        <v>70.607142857142861</v>
      </c>
    </row>
    <row r="316" spans="3:9" ht="15" hidden="1" x14ac:dyDescent="0.2">
      <c r="C316" s="3">
        <v>9</v>
      </c>
      <c r="D316" s="5" t="s">
        <v>144</v>
      </c>
      <c r="E316" s="7">
        <v>45239</v>
      </c>
      <c r="F316" s="4">
        <f>'Track Calo và Weight'!W13</f>
        <v>0</v>
      </c>
      <c r="G316" s="4">
        <f>'Track Calo và Weight'!X13</f>
        <v>0</v>
      </c>
      <c r="H316" s="22">
        <f ca="1">_xlfn.AGGREGATE(1,5,Calo[Calo Intake])</f>
        <v>2552.8214285714284</v>
      </c>
      <c r="I316" s="24">
        <f ca="1">_xlfn.AGGREGATE(1,5,Calo[Cân Nặng])</f>
        <v>70.607142857142861</v>
      </c>
    </row>
    <row r="317" spans="3:9" ht="15" hidden="1" x14ac:dyDescent="0.2">
      <c r="C317" s="3">
        <v>10</v>
      </c>
      <c r="D317" s="5" t="s">
        <v>144</v>
      </c>
      <c r="E317" s="7">
        <v>45240</v>
      </c>
      <c r="F317" s="4">
        <f>'Track Calo và Weight'!W14</f>
        <v>0</v>
      </c>
      <c r="G317" s="4">
        <f>'Track Calo và Weight'!X14</f>
        <v>0</v>
      </c>
      <c r="H317" s="22">
        <f ca="1">_xlfn.AGGREGATE(1,5,Calo[Calo Intake])</f>
        <v>2552.8214285714284</v>
      </c>
      <c r="I317" s="24">
        <f ca="1">_xlfn.AGGREGATE(1,5,Calo[Cân Nặng])</f>
        <v>70.607142857142861</v>
      </c>
    </row>
    <row r="318" spans="3:9" ht="15" hidden="1" x14ac:dyDescent="0.2">
      <c r="C318" s="3">
        <v>11</v>
      </c>
      <c r="D318" s="5" t="s">
        <v>144</v>
      </c>
      <c r="E318" s="7">
        <v>45241</v>
      </c>
      <c r="F318" s="4">
        <f>'Track Calo và Weight'!W15</f>
        <v>0</v>
      </c>
      <c r="G318" s="4">
        <f>'Track Calo và Weight'!X15</f>
        <v>0</v>
      </c>
      <c r="H318" s="22">
        <f ca="1">_xlfn.AGGREGATE(1,5,Calo[Calo Intake])</f>
        <v>2552.8214285714284</v>
      </c>
      <c r="I318" s="24">
        <f ca="1">_xlfn.AGGREGATE(1,5,Calo[Cân Nặng])</f>
        <v>70.607142857142861</v>
      </c>
    </row>
    <row r="319" spans="3:9" ht="15" hidden="1" x14ac:dyDescent="0.2">
      <c r="C319" s="3">
        <v>12</v>
      </c>
      <c r="D319" s="5" t="s">
        <v>144</v>
      </c>
      <c r="E319" s="7">
        <v>45242</v>
      </c>
      <c r="F319" s="4">
        <f>'Track Calo và Weight'!W16</f>
        <v>0</v>
      </c>
      <c r="G319" s="4">
        <f>'Track Calo và Weight'!X16</f>
        <v>0</v>
      </c>
      <c r="H319" s="22">
        <f ca="1">_xlfn.AGGREGATE(1,5,Calo[Calo Intake])</f>
        <v>2552.8214285714284</v>
      </c>
      <c r="I319" s="24">
        <f ca="1">_xlfn.AGGREGATE(1,5,Calo[Cân Nặng])</f>
        <v>70.607142857142861</v>
      </c>
    </row>
    <row r="320" spans="3:9" ht="15" hidden="1" x14ac:dyDescent="0.2">
      <c r="C320" s="3">
        <v>13</v>
      </c>
      <c r="D320" s="5" t="s">
        <v>144</v>
      </c>
      <c r="E320" s="7">
        <v>45243</v>
      </c>
      <c r="F320" s="4">
        <f>'Track Calo và Weight'!W17</f>
        <v>0</v>
      </c>
      <c r="G320" s="4">
        <f>'Track Calo và Weight'!X17</f>
        <v>0</v>
      </c>
      <c r="H320" s="22">
        <f ca="1">_xlfn.AGGREGATE(1,5,Calo[Calo Intake])</f>
        <v>2552.8214285714284</v>
      </c>
      <c r="I320" s="24">
        <f ca="1">_xlfn.AGGREGATE(1,5,Calo[Cân Nặng])</f>
        <v>70.607142857142861</v>
      </c>
    </row>
    <row r="321" spans="3:9" ht="15" hidden="1" x14ac:dyDescent="0.2">
      <c r="C321" s="3">
        <v>14</v>
      </c>
      <c r="D321" s="5" t="s">
        <v>144</v>
      </c>
      <c r="E321" s="7">
        <v>45244</v>
      </c>
      <c r="F321" s="4">
        <f>'Track Calo và Weight'!W18</f>
        <v>0</v>
      </c>
      <c r="G321" s="4">
        <f>'Track Calo và Weight'!X18</f>
        <v>0</v>
      </c>
      <c r="H321" s="22">
        <f ca="1">_xlfn.AGGREGATE(1,5,Calo[Calo Intake])</f>
        <v>2552.8214285714284</v>
      </c>
      <c r="I321" s="24">
        <f ca="1">_xlfn.AGGREGATE(1,5,Calo[Cân Nặng])</f>
        <v>70.607142857142861</v>
      </c>
    </row>
    <row r="322" spans="3:9" ht="15" hidden="1" x14ac:dyDescent="0.2">
      <c r="C322" s="3">
        <v>15</v>
      </c>
      <c r="D322" s="5" t="s">
        <v>144</v>
      </c>
      <c r="E322" s="7">
        <v>45245</v>
      </c>
      <c r="F322" s="4">
        <f>'Track Calo và Weight'!W19</f>
        <v>0</v>
      </c>
      <c r="G322" s="4">
        <f>'Track Calo và Weight'!X19</f>
        <v>0</v>
      </c>
      <c r="H322" s="22">
        <f ca="1">_xlfn.AGGREGATE(1,5,Calo[Calo Intake])</f>
        <v>2552.8214285714284</v>
      </c>
      <c r="I322" s="24">
        <f ca="1">_xlfn.AGGREGATE(1,5,Calo[Cân Nặng])</f>
        <v>70.607142857142861</v>
      </c>
    </row>
    <row r="323" spans="3:9" ht="15" hidden="1" x14ac:dyDescent="0.2">
      <c r="C323" s="3">
        <v>16</v>
      </c>
      <c r="D323" s="5" t="s">
        <v>144</v>
      </c>
      <c r="E323" s="7">
        <v>45246</v>
      </c>
      <c r="F323" s="4">
        <f>'Track Calo và Weight'!W20</f>
        <v>0</v>
      </c>
      <c r="G323" s="4">
        <f>'Track Calo và Weight'!X20</f>
        <v>0</v>
      </c>
      <c r="H323" s="22">
        <f ca="1">_xlfn.AGGREGATE(1,5,Calo[Calo Intake])</f>
        <v>2552.8214285714284</v>
      </c>
      <c r="I323" s="24">
        <f ca="1">_xlfn.AGGREGATE(1,5,Calo[Cân Nặng])</f>
        <v>70.607142857142861</v>
      </c>
    </row>
    <row r="324" spans="3:9" ht="15" hidden="1" x14ac:dyDescent="0.2">
      <c r="C324" s="3">
        <v>17</v>
      </c>
      <c r="D324" s="5" t="s">
        <v>144</v>
      </c>
      <c r="E324" s="7">
        <v>45247</v>
      </c>
      <c r="F324" s="4">
        <f>'Track Calo và Weight'!W21</f>
        <v>0</v>
      </c>
      <c r="G324" s="4">
        <f>'Track Calo và Weight'!X21</f>
        <v>0</v>
      </c>
      <c r="H324" s="22">
        <f ca="1">_xlfn.AGGREGATE(1,5,Calo[Calo Intake])</f>
        <v>2552.8214285714284</v>
      </c>
      <c r="I324" s="24">
        <f ca="1">_xlfn.AGGREGATE(1,5,Calo[Cân Nặng])</f>
        <v>70.607142857142861</v>
      </c>
    </row>
    <row r="325" spans="3:9" ht="15" hidden="1" x14ac:dyDescent="0.2">
      <c r="C325" s="3">
        <v>18</v>
      </c>
      <c r="D325" s="5" t="s">
        <v>144</v>
      </c>
      <c r="E325" s="7">
        <v>45248</v>
      </c>
      <c r="F325" s="4">
        <f>'Track Calo và Weight'!W22</f>
        <v>0</v>
      </c>
      <c r="G325" s="4">
        <f>'Track Calo và Weight'!X22</f>
        <v>0</v>
      </c>
      <c r="H325" s="22">
        <f ca="1">_xlfn.AGGREGATE(1,5,Calo[Calo Intake])</f>
        <v>2552.8214285714284</v>
      </c>
      <c r="I325" s="24">
        <f ca="1">_xlfn.AGGREGATE(1,5,Calo[Cân Nặng])</f>
        <v>70.607142857142861</v>
      </c>
    </row>
    <row r="326" spans="3:9" ht="15" hidden="1" x14ac:dyDescent="0.2">
      <c r="C326" s="3">
        <v>19</v>
      </c>
      <c r="D326" s="5" t="s">
        <v>144</v>
      </c>
      <c r="E326" s="7">
        <v>45249</v>
      </c>
      <c r="F326" s="4">
        <f>'Track Calo và Weight'!W23</f>
        <v>0</v>
      </c>
      <c r="G326" s="4">
        <f>'Track Calo và Weight'!X23</f>
        <v>0</v>
      </c>
      <c r="H326" s="22">
        <f ca="1">_xlfn.AGGREGATE(1,5,Calo[Calo Intake])</f>
        <v>2552.8214285714284</v>
      </c>
      <c r="I326" s="24">
        <f ca="1">_xlfn.AGGREGATE(1,5,Calo[Cân Nặng])</f>
        <v>70.607142857142861</v>
      </c>
    </row>
    <row r="327" spans="3:9" ht="15" hidden="1" x14ac:dyDescent="0.2">
      <c r="C327" s="3">
        <v>20</v>
      </c>
      <c r="D327" s="5" t="s">
        <v>144</v>
      </c>
      <c r="E327" s="7">
        <v>45250</v>
      </c>
      <c r="F327" s="4">
        <f>'Track Calo và Weight'!W24</f>
        <v>0</v>
      </c>
      <c r="G327" s="4">
        <f>'Track Calo và Weight'!X24</f>
        <v>0</v>
      </c>
      <c r="H327" s="22">
        <f ca="1">_xlfn.AGGREGATE(1,5,Calo[Calo Intake])</f>
        <v>2552.8214285714284</v>
      </c>
      <c r="I327" s="24">
        <f ca="1">_xlfn.AGGREGATE(1,5,Calo[Cân Nặng])</f>
        <v>70.607142857142861</v>
      </c>
    </row>
    <row r="328" spans="3:9" ht="15" hidden="1" x14ac:dyDescent="0.2">
      <c r="C328" s="3">
        <v>21</v>
      </c>
      <c r="D328" s="5" t="s">
        <v>144</v>
      </c>
      <c r="E328" s="7">
        <v>45251</v>
      </c>
      <c r="F328" s="4">
        <f>'Track Calo và Weight'!W25</f>
        <v>0</v>
      </c>
      <c r="G328" s="4">
        <f>'Track Calo và Weight'!X25</f>
        <v>0</v>
      </c>
      <c r="H328" s="22">
        <f ca="1">_xlfn.AGGREGATE(1,5,Calo[Calo Intake])</f>
        <v>2552.8214285714284</v>
      </c>
      <c r="I328" s="24">
        <f ca="1">_xlfn.AGGREGATE(1,5,Calo[Cân Nặng])</f>
        <v>70.607142857142861</v>
      </c>
    </row>
    <row r="329" spans="3:9" ht="15" hidden="1" x14ac:dyDescent="0.2">
      <c r="C329" s="3">
        <v>22</v>
      </c>
      <c r="D329" s="5" t="s">
        <v>144</v>
      </c>
      <c r="E329" s="7">
        <v>45252</v>
      </c>
      <c r="F329" s="4">
        <f>'Track Calo và Weight'!W26</f>
        <v>0</v>
      </c>
      <c r="G329" s="4">
        <f>'Track Calo và Weight'!X26</f>
        <v>0</v>
      </c>
      <c r="H329" s="22">
        <f ca="1">_xlfn.AGGREGATE(1,5,Calo[Calo Intake])</f>
        <v>2552.8214285714284</v>
      </c>
      <c r="I329" s="24">
        <f ca="1">_xlfn.AGGREGATE(1,5,Calo[Cân Nặng])</f>
        <v>70.607142857142861</v>
      </c>
    </row>
    <row r="330" spans="3:9" ht="15" hidden="1" x14ac:dyDescent="0.2">
      <c r="C330" s="3">
        <v>23</v>
      </c>
      <c r="D330" s="5" t="s">
        <v>144</v>
      </c>
      <c r="E330" s="7">
        <v>45253</v>
      </c>
      <c r="F330" s="4">
        <f>'Track Calo và Weight'!W27</f>
        <v>0</v>
      </c>
      <c r="G330" s="4">
        <f>'Track Calo và Weight'!X27</f>
        <v>0</v>
      </c>
      <c r="H330" s="22">
        <f ca="1">_xlfn.AGGREGATE(1,5,Calo[Calo Intake])</f>
        <v>2552.8214285714284</v>
      </c>
      <c r="I330" s="24">
        <f ca="1">_xlfn.AGGREGATE(1,5,Calo[Cân Nặng])</f>
        <v>70.607142857142861</v>
      </c>
    </row>
    <row r="331" spans="3:9" ht="15" hidden="1" x14ac:dyDescent="0.2">
      <c r="C331" s="3">
        <v>24</v>
      </c>
      <c r="D331" s="5" t="s">
        <v>144</v>
      </c>
      <c r="E331" s="7">
        <v>45254</v>
      </c>
      <c r="F331" s="4">
        <f>'Track Calo và Weight'!W28</f>
        <v>0</v>
      </c>
      <c r="G331" s="4">
        <f>'Track Calo và Weight'!X28</f>
        <v>0</v>
      </c>
      <c r="H331" s="22">
        <f ca="1">_xlfn.AGGREGATE(1,5,Calo[Calo Intake])</f>
        <v>2552.8214285714284</v>
      </c>
      <c r="I331" s="24">
        <f ca="1">_xlfn.AGGREGATE(1,5,Calo[Cân Nặng])</f>
        <v>70.607142857142861</v>
      </c>
    </row>
    <row r="332" spans="3:9" ht="15" hidden="1" x14ac:dyDescent="0.2">
      <c r="C332" s="3">
        <v>25</v>
      </c>
      <c r="D332" s="5" t="s">
        <v>144</v>
      </c>
      <c r="E332" s="7">
        <v>45255</v>
      </c>
      <c r="F332" s="4">
        <f>'Track Calo và Weight'!W29</f>
        <v>0</v>
      </c>
      <c r="G332" s="4">
        <f>'Track Calo và Weight'!X29</f>
        <v>0</v>
      </c>
      <c r="H332" s="22">
        <f ca="1">_xlfn.AGGREGATE(1,5,Calo[Calo Intake])</f>
        <v>2552.8214285714284</v>
      </c>
      <c r="I332" s="24">
        <f ca="1">_xlfn.AGGREGATE(1,5,Calo[Cân Nặng])</f>
        <v>70.607142857142861</v>
      </c>
    </row>
    <row r="333" spans="3:9" ht="15" hidden="1" x14ac:dyDescent="0.2">
      <c r="C333" s="3">
        <v>26</v>
      </c>
      <c r="D333" s="5" t="s">
        <v>144</v>
      </c>
      <c r="E333" s="7">
        <v>45256</v>
      </c>
      <c r="F333" s="4">
        <f>'Track Calo và Weight'!W30</f>
        <v>0</v>
      </c>
      <c r="G333" s="4">
        <f>'Track Calo và Weight'!X30</f>
        <v>0</v>
      </c>
      <c r="H333" s="22">
        <f ca="1">_xlfn.AGGREGATE(1,5,Calo[Calo Intake])</f>
        <v>2552.8214285714284</v>
      </c>
      <c r="I333" s="24">
        <f ca="1">_xlfn.AGGREGATE(1,5,Calo[Cân Nặng])</f>
        <v>70.607142857142861</v>
      </c>
    </row>
    <row r="334" spans="3:9" ht="15" hidden="1" x14ac:dyDescent="0.2">
      <c r="C334" s="3">
        <v>27</v>
      </c>
      <c r="D334" s="5" t="s">
        <v>144</v>
      </c>
      <c r="E334" s="7">
        <v>45257</v>
      </c>
      <c r="F334" s="4">
        <f>'Track Calo và Weight'!W31</f>
        <v>0</v>
      </c>
      <c r="G334" s="4">
        <f>'Track Calo và Weight'!X31</f>
        <v>0</v>
      </c>
      <c r="H334" s="22">
        <f ca="1">_xlfn.AGGREGATE(1,5,Calo[Calo Intake])</f>
        <v>2552.8214285714284</v>
      </c>
      <c r="I334" s="24">
        <f ca="1">_xlfn.AGGREGATE(1,5,Calo[Cân Nặng])</f>
        <v>70.607142857142861</v>
      </c>
    </row>
    <row r="335" spans="3:9" ht="15" hidden="1" x14ac:dyDescent="0.2">
      <c r="C335" s="3">
        <v>28</v>
      </c>
      <c r="D335" s="5" t="s">
        <v>144</v>
      </c>
      <c r="E335" s="7">
        <v>45258</v>
      </c>
      <c r="F335" s="4">
        <f>'Track Calo và Weight'!W32</f>
        <v>0</v>
      </c>
      <c r="G335" s="4">
        <f>'Track Calo và Weight'!X32</f>
        <v>0</v>
      </c>
      <c r="H335" s="22">
        <f ca="1">_xlfn.AGGREGATE(1,5,Calo[Calo Intake])</f>
        <v>2552.8214285714284</v>
      </c>
      <c r="I335" s="24">
        <f ca="1">_xlfn.AGGREGATE(1,5,Calo[Cân Nặng])</f>
        <v>70.607142857142861</v>
      </c>
    </row>
    <row r="336" spans="3:9" ht="15" hidden="1" x14ac:dyDescent="0.2">
      <c r="C336" s="3">
        <v>29</v>
      </c>
      <c r="D336" s="5" t="s">
        <v>144</v>
      </c>
      <c r="E336" s="7">
        <v>45259</v>
      </c>
      <c r="F336" s="4">
        <f>'Track Calo và Weight'!W33</f>
        <v>0</v>
      </c>
      <c r="G336" s="4">
        <f>'Track Calo và Weight'!X33</f>
        <v>0</v>
      </c>
      <c r="H336" s="22">
        <f ca="1">_xlfn.AGGREGATE(1,5,Calo[Calo Intake])</f>
        <v>2552.8214285714284</v>
      </c>
      <c r="I336" s="24">
        <f ca="1">_xlfn.AGGREGATE(1,5,Calo[Cân Nặng])</f>
        <v>70.607142857142861</v>
      </c>
    </row>
    <row r="337" spans="3:9" ht="15.75" hidden="1" thickBot="1" x14ac:dyDescent="0.25">
      <c r="C337" s="16">
        <v>30</v>
      </c>
      <c r="D337" s="17" t="s">
        <v>144</v>
      </c>
      <c r="E337" s="18">
        <v>45260</v>
      </c>
      <c r="F337" s="19">
        <f>'Track Calo và Weight'!W34</f>
        <v>0</v>
      </c>
      <c r="G337" s="19">
        <f>'Track Calo và Weight'!X34</f>
        <v>0</v>
      </c>
      <c r="H337" s="22">
        <f ca="1">_xlfn.AGGREGATE(1,5,Calo[Calo Intake])</f>
        <v>2552.8214285714284</v>
      </c>
      <c r="I337" s="24">
        <f ca="1">_xlfn.AGGREGATE(1,5,Calo[Cân Nặng])</f>
        <v>70.607142857142861</v>
      </c>
    </row>
    <row r="338" spans="3:9" ht="15" hidden="1" x14ac:dyDescent="0.2">
      <c r="C338" s="3">
        <v>1</v>
      </c>
      <c r="D338" s="5" t="s">
        <v>145</v>
      </c>
      <c r="E338" s="7">
        <v>45261</v>
      </c>
      <c r="F338" s="4">
        <f>'Track Calo và Weight'!Y5</f>
        <v>0</v>
      </c>
      <c r="G338" s="4">
        <f>'Track Calo và Weight'!Z5</f>
        <v>0</v>
      </c>
      <c r="H338" s="22">
        <f ca="1">_xlfn.AGGREGATE(1,5,Calo[Calo Intake])</f>
        <v>2552.8214285714284</v>
      </c>
      <c r="I338" s="24">
        <f ca="1">_xlfn.AGGREGATE(1,5,Calo[Cân Nặng])</f>
        <v>70.607142857142861</v>
      </c>
    </row>
    <row r="339" spans="3:9" ht="15" hidden="1" x14ac:dyDescent="0.2">
      <c r="C339" s="3">
        <v>2</v>
      </c>
      <c r="D339" s="5" t="s">
        <v>145</v>
      </c>
      <c r="E339" s="7">
        <v>45262</v>
      </c>
      <c r="F339" s="4">
        <f>'Track Calo và Weight'!Y6</f>
        <v>0</v>
      </c>
      <c r="G339" s="4">
        <f>'Track Calo và Weight'!Z6</f>
        <v>0</v>
      </c>
      <c r="H339" s="22">
        <f ca="1">_xlfn.AGGREGATE(1,5,Calo[Calo Intake])</f>
        <v>2552.8214285714284</v>
      </c>
      <c r="I339" s="24">
        <f ca="1">_xlfn.AGGREGATE(1,5,Calo[Cân Nặng])</f>
        <v>70.607142857142861</v>
      </c>
    </row>
    <row r="340" spans="3:9" ht="15" hidden="1" x14ac:dyDescent="0.2">
      <c r="C340" s="3">
        <v>3</v>
      </c>
      <c r="D340" s="5" t="s">
        <v>145</v>
      </c>
      <c r="E340" s="7">
        <v>45263</v>
      </c>
      <c r="F340" s="4">
        <f>'Track Calo và Weight'!Y7</f>
        <v>0</v>
      </c>
      <c r="G340" s="4">
        <f>'Track Calo và Weight'!Z7</f>
        <v>0</v>
      </c>
      <c r="H340" s="22">
        <f ca="1">_xlfn.AGGREGATE(1,5,Calo[Calo Intake])</f>
        <v>2552.8214285714284</v>
      </c>
      <c r="I340" s="24">
        <f ca="1">_xlfn.AGGREGATE(1,5,Calo[Cân Nặng])</f>
        <v>70.607142857142861</v>
      </c>
    </row>
    <row r="341" spans="3:9" ht="15" hidden="1" x14ac:dyDescent="0.2">
      <c r="C341" s="3">
        <v>4</v>
      </c>
      <c r="D341" s="5" t="s">
        <v>145</v>
      </c>
      <c r="E341" s="7">
        <v>45264</v>
      </c>
      <c r="F341" s="4">
        <f>'Track Calo và Weight'!Y8</f>
        <v>0</v>
      </c>
      <c r="G341" s="4">
        <f>'Track Calo và Weight'!Z8</f>
        <v>0</v>
      </c>
      <c r="H341" s="22">
        <f ca="1">_xlfn.AGGREGATE(1,5,Calo[Calo Intake])</f>
        <v>2552.8214285714284</v>
      </c>
      <c r="I341" s="24">
        <f ca="1">_xlfn.AGGREGATE(1,5,Calo[Cân Nặng])</f>
        <v>70.607142857142861</v>
      </c>
    </row>
    <row r="342" spans="3:9" ht="15" hidden="1" x14ac:dyDescent="0.2">
      <c r="C342" s="3">
        <v>5</v>
      </c>
      <c r="D342" s="5" t="s">
        <v>145</v>
      </c>
      <c r="E342" s="7">
        <v>45265</v>
      </c>
      <c r="F342" s="4">
        <f>'Track Calo và Weight'!Y9</f>
        <v>0</v>
      </c>
      <c r="G342" s="4">
        <f>'Track Calo và Weight'!Z9</f>
        <v>0</v>
      </c>
      <c r="H342" s="22">
        <f ca="1">_xlfn.AGGREGATE(1,5,Calo[Calo Intake])</f>
        <v>2552.8214285714284</v>
      </c>
      <c r="I342" s="24">
        <f ca="1">_xlfn.AGGREGATE(1,5,Calo[Cân Nặng])</f>
        <v>70.607142857142861</v>
      </c>
    </row>
    <row r="343" spans="3:9" ht="15" hidden="1" x14ac:dyDescent="0.2">
      <c r="C343" s="3">
        <v>6</v>
      </c>
      <c r="D343" s="5" t="s">
        <v>145</v>
      </c>
      <c r="E343" s="7">
        <v>45266</v>
      </c>
      <c r="F343" s="4">
        <f>'Track Calo và Weight'!Y10</f>
        <v>0</v>
      </c>
      <c r="G343" s="4">
        <f>'Track Calo và Weight'!Z10</f>
        <v>0</v>
      </c>
      <c r="H343" s="22">
        <f ca="1">_xlfn.AGGREGATE(1,5,Calo[Calo Intake])</f>
        <v>2552.8214285714284</v>
      </c>
      <c r="I343" s="24">
        <f ca="1">_xlfn.AGGREGATE(1,5,Calo[Cân Nặng])</f>
        <v>70.607142857142861</v>
      </c>
    </row>
    <row r="344" spans="3:9" ht="15" hidden="1" x14ac:dyDescent="0.2">
      <c r="C344" s="3">
        <v>7</v>
      </c>
      <c r="D344" s="5" t="s">
        <v>145</v>
      </c>
      <c r="E344" s="7">
        <v>45267</v>
      </c>
      <c r="F344" s="4">
        <f>'Track Calo và Weight'!Y11</f>
        <v>0</v>
      </c>
      <c r="G344" s="4">
        <f>'Track Calo và Weight'!Z11</f>
        <v>0</v>
      </c>
      <c r="H344" s="22">
        <f ca="1">_xlfn.AGGREGATE(1,5,Calo[Calo Intake])</f>
        <v>2552.8214285714284</v>
      </c>
      <c r="I344" s="24">
        <f ca="1">_xlfn.AGGREGATE(1,5,Calo[Cân Nặng])</f>
        <v>70.607142857142861</v>
      </c>
    </row>
    <row r="345" spans="3:9" ht="15" hidden="1" x14ac:dyDescent="0.2">
      <c r="C345" s="3">
        <v>8</v>
      </c>
      <c r="D345" s="5" t="s">
        <v>145</v>
      </c>
      <c r="E345" s="7">
        <v>45268</v>
      </c>
      <c r="F345" s="4">
        <f>'Track Calo và Weight'!Y12</f>
        <v>0</v>
      </c>
      <c r="G345" s="4">
        <f>'Track Calo và Weight'!Z12</f>
        <v>0</v>
      </c>
      <c r="H345" s="22">
        <f ca="1">_xlfn.AGGREGATE(1,5,Calo[Calo Intake])</f>
        <v>2552.8214285714284</v>
      </c>
      <c r="I345" s="24">
        <f ca="1">_xlfn.AGGREGATE(1,5,Calo[Cân Nặng])</f>
        <v>70.607142857142861</v>
      </c>
    </row>
    <row r="346" spans="3:9" ht="15" hidden="1" x14ac:dyDescent="0.2">
      <c r="C346" s="3">
        <v>9</v>
      </c>
      <c r="D346" s="5" t="s">
        <v>145</v>
      </c>
      <c r="E346" s="7">
        <v>45269</v>
      </c>
      <c r="F346" s="4">
        <f>'Track Calo và Weight'!Y13</f>
        <v>0</v>
      </c>
      <c r="G346" s="4">
        <f>'Track Calo và Weight'!Z13</f>
        <v>0</v>
      </c>
      <c r="H346" s="22">
        <f ca="1">_xlfn.AGGREGATE(1,5,Calo[Calo Intake])</f>
        <v>2552.8214285714284</v>
      </c>
      <c r="I346" s="24">
        <f ca="1">_xlfn.AGGREGATE(1,5,Calo[Cân Nặng])</f>
        <v>70.607142857142861</v>
      </c>
    </row>
    <row r="347" spans="3:9" ht="15" hidden="1" x14ac:dyDescent="0.2">
      <c r="C347" s="3">
        <v>10</v>
      </c>
      <c r="D347" s="5" t="s">
        <v>145</v>
      </c>
      <c r="E347" s="7">
        <v>45270</v>
      </c>
      <c r="F347" s="4">
        <f>'Track Calo và Weight'!Y14</f>
        <v>0</v>
      </c>
      <c r="G347" s="4">
        <f>'Track Calo và Weight'!Z14</f>
        <v>0</v>
      </c>
      <c r="H347" s="22">
        <f ca="1">_xlfn.AGGREGATE(1,5,Calo[Calo Intake])</f>
        <v>2552.8214285714284</v>
      </c>
      <c r="I347" s="24">
        <f ca="1">_xlfn.AGGREGATE(1,5,Calo[Cân Nặng])</f>
        <v>70.607142857142861</v>
      </c>
    </row>
    <row r="348" spans="3:9" ht="15" hidden="1" x14ac:dyDescent="0.2">
      <c r="C348" s="3">
        <v>11</v>
      </c>
      <c r="D348" s="5" t="s">
        <v>145</v>
      </c>
      <c r="E348" s="7">
        <v>45271</v>
      </c>
      <c r="F348" s="4">
        <f>'Track Calo và Weight'!Y15</f>
        <v>0</v>
      </c>
      <c r="G348" s="4">
        <f>'Track Calo và Weight'!Z15</f>
        <v>0</v>
      </c>
      <c r="H348" s="22">
        <f ca="1">_xlfn.AGGREGATE(1,5,Calo[Calo Intake])</f>
        <v>2552.8214285714284</v>
      </c>
      <c r="I348" s="24">
        <f ca="1">_xlfn.AGGREGATE(1,5,Calo[Cân Nặng])</f>
        <v>70.607142857142861</v>
      </c>
    </row>
    <row r="349" spans="3:9" ht="15" hidden="1" x14ac:dyDescent="0.2">
      <c r="C349" s="3">
        <v>12</v>
      </c>
      <c r="D349" s="5" t="s">
        <v>145</v>
      </c>
      <c r="E349" s="7">
        <v>45272</v>
      </c>
      <c r="F349" s="4">
        <f>'Track Calo và Weight'!Y16</f>
        <v>0</v>
      </c>
      <c r="G349" s="4">
        <f>'Track Calo và Weight'!Z16</f>
        <v>0</v>
      </c>
      <c r="H349" s="22">
        <f ca="1">_xlfn.AGGREGATE(1,5,Calo[Calo Intake])</f>
        <v>2552.8214285714284</v>
      </c>
      <c r="I349" s="24">
        <f ca="1">_xlfn.AGGREGATE(1,5,Calo[Cân Nặng])</f>
        <v>70.607142857142861</v>
      </c>
    </row>
    <row r="350" spans="3:9" ht="15" hidden="1" x14ac:dyDescent="0.2">
      <c r="C350" s="3">
        <v>13</v>
      </c>
      <c r="D350" s="5" t="s">
        <v>145</v>
      </c>
      <c r="E350" s="7">
        <v>45273</v>
      </c>
      <c r="F350" s="4">
        <f>'Track Calo và Weight'!Y17</f>
        <v>0</v>
      </c>
      <c r="G350" s="4">
        <f>'Track Calo và Weight'!Z17</f>
        <v>0</v>
      </c>
      <c r="H350" s="22">
        <f ca="1">_xlfn.AGGREGATE(1,5,Calo[Calo Intake])</f>
        <v>2552.8214285714284</v>
      </c>
      <c r="I350" s="24">
        <f ca="1">_xlfn.AGGREGATE(1,5,Calo[Cân Nặng])</f>
        <v>70.607142857142861</v>
      </c>
    </row>
    <row r="351" spans="3:9" ht="15" hidden="1" x14ac:dyDescent="0.2">
      <c r="C351" s="3">
        <v>14</v>
      </c>
      <c r="D351" s="5" t="s">
        <v>145</v>
      </c>
      <c r="E351" s="7">
        <v>45274</v>
      </c>
      <c r="F351" s="4">
        <f>'Track Calo và Weight'!Y18</f>
        <v>0</v>
      </c>
      <c r="G351" s="4">
        <f>'Track Calo và Weight'!Z18</f>
        <v>0</v>
      </c>
      <c r="H351" s="22">
        <f ca="1">_xlfn.AGGREGATE(1,5,Calo[Calo Intake])</f>
        <v>2552.8214285714284</v>
      </c>
      <c r="I351" s="24">
        <f ca="1">_xlfn.AGGREGATE(1,5,Calo[Cân Nặng])</f>
        <v>70.607142857142861</v>
      </c>
    </row>
    <row r="352" spans="3:9" ht="15" hidden="1" x14ac:dyDescent="0.2">
      <c r="C352" s="3">
        <v>15</v>
      </c>
      <c r="D352" s="5" t="s">
        <v>145</v>
      </c>
      <c r="E352" s="7">
        <v>45275</v>
      </c>
      <c r="F352" s="4">
        <f>'Track Calo và Weight'!Y19</f>
        <v>0</v>
      </c>
      <c r="G352" s="4">
        <f>'Track Calo và Weight'!Z19</f>
        <v>0</v>
      </c>
      <c r="H352" s="22">
        <f ca="1">_xlfn.AGGREGATE(1,5,Calo[Calo Intake])</f>
        <v>2552.8214285714284</v>
      </c>
      <c r="I352" s="24">
        <f ca="1">_xlfn.AGGREGATE(1,5,Calo[Cân Nặng])</f>
        <v>70.607142857142861</v>
      </c>
    </row>
    <row r="353" spans="3:9" ht="15" hidden="1" x14ac:dyDescent="0.2">
      <c r="C353" s="3">
        <v>16</v>
      </c>
      <c r="D353" s="5" t="s">
        <v>145</v>
      </c>
      <c r="E353" s="7">
        <v>45276</v>
      </c>
      <c r="F353" s="4">
        <f>'Track Calo và Weight'!Y20</f>
        <v>0</v>
      </c>
      <c r="G353" s="4">
        <f>'Track Calo và Weight'!Z20</f>
        <v>0</v>
      </c>
      <c r="H353" s="22">
        <f ca="1">_xlfn.AGGREGATE(1,5,Calo[Calo Intake])</f>
        <v>2552.8214285714284</v>
      </c>
      <c r="I353" s="24">
        <f ca="1">_xlfn.AGGREGATE(1,5,Calo[Cân Nặng])</f>
        <v>70.607142857142861</v>
      </c>
    </row>
    <row r="354" spans="3:9" ht="15" hidden="1" x14ac:dyDescent="0.2">
      <c r="C354" s="3">
        <v>17</v>
      </c>
      <c r="D354" s="5" t="s">
        <v>145</v>
      </c>
      <c r="E354" s="7">
        <v>45277</v>
      </c>
      <c r="F354" s="4">
        <f>'Track Calo và Weight'!Y21</f>
        <v>0</v>
      </c>
      <c r="G354" s="4">
        <f>'Track Calo và Weight'!Z21</f>
        <v>0</v>
      </c>
      <c r="H354" s="22">
        <f ca="1">_xlfn.AGGREGATE(1,5,Calo[Calo Intake])</f>
        <v>2552.8214285714284</v>
      </c>
      <c r="I354" s="24">
        <f ca="1">_xlfn.AGGREGATE(1,5,Calo[Cân Nặng])</f>
        <v>70.607142857142861</v>
      </c>
    </row>
    <row r="355" spans="3:9" ht="15" hidden="1" x14ac:dyDescent="0.2">
      <c r="C355" s="3">
        <v>18</v>
      </c>
      <c r="D355" s="5" t="s">
        <v>145</v>
      </c>
      <c r="E355" s="7">
        <v>45278</v>
      </c>
      <c r="F355" s="4">
        <f>'Track Calo và Weight'!Y22</f>
        <v>0</v>
      </c>
      <c r="G355" s="4">
        <f>'Track Calo và Weight'!Z22</f>
        <v>0</v>
      </c>
      <c r="H355" s="22">
        <f ca="1">_xlfn.AGGREGATE(1,5,Calo[Calo Intake])</f>
        <v>2552.8214285714284</v>
      </c>
      <c r="I355" s="24">
        <f ca="1">_xlfn.AGGREGATE(1,5,Calo[Cân Nặng])</f>
        <v>70.607142857142861</v>
      </c>
    </row>
    <row r="356" spans="3:9" ht="15" hidden="1" x14ac:dyDescent="0.2">
      <c r="C356" s="3">
        <v>19</v>
      </c>
      <c r="D356" s="5" t="s">
        <v>145</v>
      </c>
      <c r="E356" s="7">
        <v>45279</v>
      </c>
      <c r="F356" s="4">
        <f>'Track Calo và Weight'!Y23</f>
        <v>0</v>
      </c>
      <c r="G356" s="4">
        <f>'Track Calo và Weight'!Z23</f>
        <v>0</v>
      </c>
      <c r="H356" s="22">
        <f ca="1">_xlfn.AGGREGATE(1,5,Calo[Calo Intake])</f>
        <v>2552.8214285714284</v>
      </c>
      <c r="I356" s="24">
        <f ca="1">_xlfn.AGGREGATE(1,5,Calo[Cân Nặng])</f>
        <v>70.607142857142861</v>
      </c>
    </row>
    <row r="357" spans="3:9" ht="15" hidden="1" x14ac:dyDescent="0.2">
      <c r="C357" s="3">
        <v>20</v>
      </c>
      <c r="D357" s="5" t="s">
        <v>145</v>
      </c>
      <c r="E357" s="7">
        <v>45280</v>
      </c>
      <c r="F357" s="4">
        <f>'Track Calo và Weight'!Y24</f>
        <v>0</v>
      </c>
      <c r="G357" s="4">
        <f>'Track Calo và Weight'!Z24</f>
        <v>0</v>
      </c>
      <c r="H357" s="22">
        <f ca="1">_xlfn.AGGREGATE(1,5,Calo[Calo Intake])</f>
        <v>2552.8214285714284</v>
      </c>
      <c r="I357" s="24">
        <f ca="1">_xlfn.AGGREGATE(1,5,Calo[Cân Nặng])</f>
        <v>70.607142857142861</v>
      </c>
    </row>
    <row r="358" spans="3:9" ht="15" hidden="1" x14ac:dyDescent="0.2">
      <c r="C358" s="3">
        <v>21</v>
      </c>
      <c r="D358" s="5" t="s">
        <v>145</v>
      </c>
      <c r="E358" s="7">
        <v>45281</v>
      </c>
      <c r="F358" s="4">
        <f>'Track Calo và Weight'!Y25</f>
        <v>0</v>
      </c>
      <c r="G358" s="4">
        <f>'Track Calo và Weight'!Z25</f>
        <v>0</v>
      </c>
      <c r="H358" s="22">
        <f ca="1">_xlfn.AGGREGATE(1,5,Calo[Calo Intake])</f>
        <v>2552.8214285714284</v>
      </c>
      <c r="I358" s="24">
        <f ca="1">_xlfn.AGGREGATE(1,5,Calo[Cân Nặng])</f>
        <v>70.607142857142861</v>
      </c>
    </row>
    <row r="359" spans="3:9" ht="15" hidden="1" x14ac:dyDescent="0.2">
      <c r="C359" s="3">
        <v>22</v>
      </c>
      <c r="D359" s="5" t="s">
        <v>145</v>
      </c>
      <c r="E359" s="7">
        <v>45282</v>
      </c>
      <c r="F359" s="4">
        <f>'Track Calo và Weight'!Y26</f>
        <v>0</v>
      </c>
      <c r="G359" s="4">
        <f>'Track Calo và Weight'!Z26</f>
        <v>0</v>
      </c>
      <c r="H359" s="22">
        <f ca="1">_xlfn.AGGREGATE(1,5,Calo[Calo Intake])</f>
        <v>2552.8214285714284</v>
      </c>
      <c r="I359" s="24">
        <f ca="1">_xlfn.AGGREGATE(1,5,Calo[Cân Nặng])</f>
        <v>70.607142857142861</v>
      </c>
    </row>
    <row r="360" spans="3:9" ht="15" hidden="1" x14ac:dyDescent="0.2">
      <c r="C360" s="3">
        <v>23</v>
      </c>
      <c r="D360" s="5" t="s">
        <v>145</v>
      </c>
      <c r="E360" s="7">
        <v>45283</v>
      </c>
      <c r="F360" s="4">
        <f>'Track Calo và Weight'!Y27</f>
        <v>0</v>
      </c>
      <c r="G360" s="4">
        <f>'Track Calo và Weight'!Z27</f>
        <v>0</v>
      </c>
      <c r="H360" s="22">
        <f ca="1">_xlfn.AGGREGATE(1,5,Calo[Calo Intake])</f>
        <v>2552.8214285714284</v>
      </c>
      <c r="I360" s="24">
        <f ca="1">_xlfn.AGGREGATE(1,5,Calo[Cân Nặng])</f>
        <v>70.607142857142861</v>
      </c>
    </row>
    <row r="361" spans="3:9" ht="15" hidden="1" x14ac:dyDescent="0.2">
      <c r="C361" s="3">
        <v>24</v>
      </c>
      <c r="D361" s="5" t="s">
        <v>145</v>
      </c>
      <c r="E361" s="7">
        <v>45284</v>
      </c>
      <c r="F361" s="4">
        <f>'Track Calo và Weight'!Y28</f>
        <v>0</v>
      </c>
      <c r="G361" s="4">
        <f>'Track Calo và Weight'!Z28</f>
        <v>0</v>
      </c>
      <c r="H361" s="22">
        <f ca="1">_xlfn.AGGREGATE(1,5,Calo[Calo Intake])</f>
        <v>2552.8214285714284</v>
      </c>
      <c r="I361" s="24">
        <f ca="1">_xlfn.AGGREGATE(1,5,Calo[Cân Nặng])</f>
        <v>70.607142857142861</v>
      </c>
    </row>
    <row r="362" spans="3:9" ht="15" hidden="1" x14ac:dyDescent="0.2">
      <c r="C362" s="3">
        <v>25</v>
      </c>
      <c r="D362" s="5" t="s">
        <v>145</v>
      </c>
      <c r="E362" s="7">
        <v>45285</v>
      </c>
      <c r="F362" s="4">
        <f>'Track Calo và Weight'!Y29</f>
        <v>0</v>
      </c>
      <c r="G362" s="4">
        <f>'Track Calo và Weight'!Z29</f>
        <v>0</v>
      </c>
      <c r="H362" s="22">
        <f ca="1">_xlfn.AGGREGATE(1,5,Calo[Calo Intake])</f>
        <v>2552.8214285714284</v>
      </c>
      <c r="I362" s="24">
        <f ca="1">_xlfn.AGGREGATE(1,5,Calo[Cân Nặng])</f>
        <v>70.607142857142861</v>
      </c>
    </row>
    <row r="363" spans="3:9" ht="15" hidden="1" x14ac:dyDescent="0.2">
      <c r="C363" s="3">
        <v>26</v>
      </c>
      <c r="D363" s="5" t="s">
        <v>145</v>
      </c>
      <c r="E363" s="7">
        <v>45286</v>
      </c>
      <c r="F363" s="4">
        <f>'Track Calo và Weight'!Y30</f>
        <v>0</v>
      </c>
      <c r="G363" s="4">
        <f>'Track Calo và Weight'!Z30</f>
        <v>0</v>
      </c>
      <c r="H363" s="22">
        <f ca="1">_xlfn.AGGREGATE(1,5,Calo[Calo Intake])</f>
        <v>2552.8214285714284</v>
      </c>
      <c r="I363" s="24">
        <f ca="1">_xlfn.AGGREGATE(1,5,Calo[Cân Nặng])</f>
        <v>70.607142857142861</v>
      </c>
    </row>
    <row r="364" spans="3:9" ht="15" hidden="1" x14ac:dyDescent="0.2">
      <c r="C364" s="3">
        <v>27</v>
      </c>
      <c r="D364" s="5" t="s">
        <v>145</v>
      </c>
      <c r="E364" s="7">
        <v>45287</v>
      </c>
      <c r="F364" s="4">
        <f>'Track Calo và Weight'!Y31</f>
        <v>0</v>
      </c>
      <c r="G364" s="4">
        <f>'Track Calo và Weight'!Z31</f>
        <v>0</v>
      </c>
      <c r="H364" s="22">
        <f ca="1">_xlfn.AGGREGATE(1,5,Calo[Calo Intake])</f>
        <v>2552.8214285714284</v>
      </c>
      <c r="I364" s="24">
        <f ca="1">_xlfn.AGGREGATE(1,5,Calo[Cân Nặng])</f>
        <v>70.607142857142861</v>
      </c>
    </row>
    <row r="365" spans="3:9" ht="15" hidden="1" x14ac:dyDescent="0.2">
      <c r="C365" s="3">
        <v>28</v>
      </c>
      <c r="D365" s="5" t="s">
        <v>145</v>
      </c>
      <c r="E365" s="7">
        <v>45288</v>
      </c>
      <c r="F365" s="4">
        <f>'Track Calo và Weight'!Y32</f>
        <v>0</v>
      </c>
      <c r="G365" s="4">
        <f>'Track Calo và Weight'!Z32</f>
        <v>0</v>
      </c>
      <c r="H365" s="22">
        <f ca="1">_xlfn.AGGREGATE(1,5,Calo[Calo Intake])</f>
        <v>2552.8214285714284</v>
      </c>
      <c r="I365" s="24">
        <f ca="1">_xlfn.AGGREGATE(1,5,Calo[Cân Nặng])</f>
        <v>70.607142857142861</v>
      </c>
    </row>
    <row r="366" spans="3:9" ht="15" hidden="1" x14ac:dyDescent="0.2">
      <c r="C366" s="3">
        <v>29</v>
      </c>
      <c r="D366" s="5" t="s">
        <v>145</v>
      </c>
      <c r="E366" s="7">
        <v>45289</v>
      </c>
      <c r="F366" s="4">
        <f>'Track Calo và Weight'!Y33</f>
        <v>0</v>
      </c>
      <c r="G366" s="4">
        <f>'Track Calo và Weight'!Z33</f>
        <v>0</v>
      </c>
      <c r="H366" s="22">
        <f ca="1">_xlfn.AGGREGATE(1,5,Calo[Calo Intake])</f>
        <v>2552.8214285714284</v>
      </c>
      <c r="I366" s="24">
        <f ca="1">_xlfn.AGGREGATE(1,5,Calo[Cân Nặng])</f>
        <v>70.607142857142861</v>
      </c>
    </row>
    <row r="367" spans="3:9" ht="15" hidden="1" x14ac:dyDescent="0.2">
      <c r="C367" s="3">
        <v>30</v>
      </c>
      <c r="D367" s="5" t="s">
        <v>145</v>
      </c>
      <c r="E367" s="7">
        <v>45290</v>
      </c>
      <c r="F367" s="4">
        <f>'Track Calo và Weight'!Y34</f>
        <v>0</v>
      </c>
      <c r="G367" s="4">
        <f>'Track Calo và Weight'!Z34</f>
        <v>0</v>
      </c>
      <c r="H367" s="22">
        <f ca="1">_xlfn.AGGREGATE(1,5,Calo[Calo Intake])</f>
        <v>2552.8214285714284</v>
      </c>
      <c r="I367" s="24">
        <f ca="1">_xlfn.AGGREGATE(1,5,Calo[Cân Nặng])</f>
        <v>70.607142857142861</v>
      </c>
    </row>
    <row r="368" spans="3:9" ht="15.75" hidden="1" thickBot="1" x14ac:dyDescent="0.25">
      <c r="C368" s="16">
        <v>31</v>
      </c>
      <c r="D368" s="17" t="s">
        <v>145</v>
      </c>
      <c r="E368" s="18">
        <v>45291</v>
      </c>
      <c r="F368" s="19">
        <f>'Track Calo và Weight'!Y35</f>
        <v>0</v>
      </c>
      <c r="G368" s="19">
        <f>'Track Calo và Weight'!Z35</f>
        <v>0</v>
      </c>
      <c r="H368" s="22">
        <f ca="1">_xlfn.AGGREGATE(1,5,Calo[Calo Intake])</f>
        <v>2552.8214285714284</v>
      </c>
      <c r="I368" s="24">
        <f ca="1">_xlfn.AGGREGATE(1,5,Calo[Cân Nặng])</f>
        <v>70.607142857142861</v>
      </c>
    </row>
  </sheetData>
  <phoneticPr fontId="3"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CFA93-90BA-444C-BC43-A1C41028ED41}">
  <sheetPr codeName="Sheet4">
    <tabColor theme="4" tint="0.39997558519241921"/>
  </sheetPr>
  <dimension ref="B1:R26"/>
  <sheetViews>
    <sheetView showGridLines="0" topLeftCell="B1" workbookViewId="0">
      <selection activeCell="I41" sqref="I41"/>
    </sheetView>
  </sheetViews>
  <sheetFormatPr defaultRowHeight="12.75" x14ac:dyDescent="0.2"/>
  <cols>
    <col min="2" max="2" width="11.7109375" bestFit="1" customWidth="1"/>
    <col min="3" max="3" width="15.5703125" bestFit="1" customWidth="1"/>
    <col min="4" max="4" width="15.42578125" bestFit="1" customWidth="1"/>
    <col min="5" max="5" width="16.42578125" bestFit="1" customWidth="1"/>
    <col min="6" max="6" width="22.42578125" bestFit="1" customWidth="1"/>
    <col min="7" max="7" width="18.28515625" bestFit="1" customWidth="1"/>
    <col min="8" max="8" width="19.5703125" bestFit="1" customWidth="1"/>
    <col min="9" max="9" width="18.42578125" bestFit="1" customWidth="1"/>
    <col min="10" max="10" width="18.140625" bestFit="1" customWidth="1"/>
    <col min="11" max="11" width="9.5703125" bestFit="1" customWidth="1"/>
    <col min="12" max="12" width="12.7109375" bestFit="1" customWidth="1"/>
    <col min="13" max="13" width="14.7109375" bestFit="1" customWidth="1"/>
    <col min="14" max="14" width="19.85546875" bestFit="1" customWidth="1"/>
    <col min="15" max="15" width="10.140625" bestFit="1" customWidth="1"/>
    <col min="16" max="16" width="9.85546875" bestFit="1" customWidth="1"/>
    <col min="17" max="17" width="17.42578125" bestFit="1" customWidth="1"/>
    <col min="18" max="18" width="12.85546875" bestFit="1" customWidth="1"/>
  </cols>
  <sheetData>
    <row r="1" spans="2:18" ht="13.5" thickBot="1" x14ac:dyDescent="0.25"/>
    <row r="2" spans="2:18" ht="16.5" thickBot="1" x14ac:dyDescent="0.3">
      <c r="B2" s="31"/>
      <c r="C2" s="213" t="s">
        <v>178</v>
      </c>
      <c r="D2" s="214"/>
      <c r="E2" s="215"/>
      <c r="F2" s="213" t="s">
        <v>179</v>
      </c>
      <c r="G2" s="214"/>
      <c r="H2" s="215"/>
      <c r="I2" s="110" t="s">
        <v>180</v>
      </c>
      <c r="J2" s="213" t="s">
        <v>184</v>
      </c>
      <c r="K2" s="215"/>
      <c r="L2" s="110" t="s">
        <v>185</v>
      </c>
      <c r="M2" s="213" t="s">
        <v>209</v>
      </c>
      <c r="N2" s="214"/>
      <c r="O2" s="214"/>
      <c r="P2" s="215"/>
      <c r="Q2" s="213" t="s">
        <v>186</v>
      </c>
      <c r="R2" s="215"/>
    </row>
    <row r="3" spans="2:18" ht="16.5" thickBot="1" x14ac:dyDescent="0.3">
      <c r="B3" s="31"/>
      <c r="C3" s="111" t="s">
        <v>199</v>
      </c>
      <c r="D3" s="111" t="s">
        <v>200</v>
      </c>
      <c r="E3" s="112" t="s">
        <v>201</v>
      </c>
      <c r="F3" s="111" t="s">
        <v>202</v>
      </c>
      <c r="G3" s="111" t="s">
        <v>203</v>
      </c>
      <c r="H3" s="111" t="s">
        <v>204</v>
      </c>
      <c r="I3" s="111" t="s">
        <v>180</v>
      </c>
      <c r="J3" s="111" t="s">
        <v>205</v>
      </c>
      <c r="K3" s="112" t="s">
        <v>198</v>
      </c>
      <c r="L3" s="111" t="s">
        <v>185</v>
      </c>
      <c r="M3" s="111" t="s">
        <v>206</v>
      </c>
      <c r="N3" s="111" t="s">
        <v>207</v>
      </c>
      <c r="O3" s="111" t="s">
        <v>208</v>
      </c>
      <c r="P3" s="112" t="s">
        <v>191</v>
      </c>
      <c r="Q3" s="111" t="s">
        <v>210</v>
      </c>
      <c r="R3" s="112" t="s">
        <v>211</v>
      </c>
    </row>
    <row r="4" spans="2:18" ht="15.75" x14ac:dyDescent="0.25">
      <c r="B4" s="31"/>
      <c r="C4" s="28" t="s">
        <v>212</v>
      </c>
      <c r="D4" s="28" t="s">
        <v>261</v>
      </c>
      <c r="E4" s="29" t="s">
        <v>220</v>
      </c>
      <c r="F4" s="28" t="s">
        <v>170</v>
      </c>
      <c r="G4" s="28" t="s">
        <v>226</v>
      </c>
      <c r="H4" s="28" t="s">
        <v>228</v>
      </c>
      <c r="I4" s="28" t="s">
        <v>231</v>
      </c>
      <c r="J4" s="28" t="s">
        <v>181</v>
      </c>
      <c r="K4" s="29" t="s">
        <v>238</v>
      </c>
      <c r="L4" s="28" t="s">
        <v>240</v>
      </c>
      <c r="M4" s="28" t="s">
        <v>273</v>
      </c>
      <c r="N4" s="28" t="s">
        <v>245</v>
      </c>
      <c r="O4" s="28" t="s">
        <v>246</v>
      </c>
      <c r="P4" s="29" t="s">
        <v>252</v>
      </c>
      <c r="Q4" s="28" t="s">
        <v>247</v>
      </c>
      <c r="R4" s="29" t="s">
        <v>251</v>
      </c>
    </row>
    <row r="5" spans="2:18" ht="15.75" x14ac:dyDescent="0.25">
      <c r="B5" s="31"/>
      <c r="C5" s="28" t="s">
        <v>213</v>
      </c>
      <c r="D5" s="28" t="s">
        <v>262</v>
      </c>
      <c r="E5" s="29" t="s">
        <v>221</v>
      </c>
      <c r="F5" s="28" t="s">
        <v>255</v>
      </c>
      <c r="G5" s="28" t="s">
        <v>227</v>
      </c>
      <c r="H5" s="28" t="s">
        <v>256</v>
      </c>
      <c r="I5" s="28" t="s">
        <v>232</v>
      </c>
      <c r="J5" s="28" t="s">
        <v>234</v>
      </c>
      <c r="K5" s="29" t="s">
        <v>239</v>
      </c>
      <c r="L5" s="28" t="s">
        <v>241</v>
      </c>
      <c r="M5" s="28" t="s">
        <v>189</v>
      </c>
      <c r="N5" s="28" t="s">
        <v>190</v>
      </c>
      <c r="O5" s="28"/>
      <c r="P5" s="29"/>
      <c r="Q5" s="28" t="s">
        <v>250</v>
      </c>
      <c r="R5" s="29" t="s">
        <v>253</v>
      </c>
    </row>
    <row r="6" spans="2:18" ht="15.75" x14ac:dyDescent="0.25">
      <c r="B6" s="31"/>
      <c r="C6" s="28" t="s">
        <v>214</v>
      </c>
      <c r="D6" s="28" t="s">
        <v>217</v>
      </c>
      <c r="E6" s="29" t="s">
        <v>222</v>
      </c>
      <c r="F6" s="28" t="s">
        <v>224</v>
      </c>
      <c r="G6" s="28"/>
      <c r="H6" s="28" t="s">
        <v>229</v>
      </c>
      <c r="I6" s="28" t="s">
        <v>233</v>
      </c>
      <c r="J6" s="28" t="s">
        <v>235</v>
      </c>
      <c r="K6" s="29"/>
      <c r="L6" s="28" t="s">
        <v>242</v>
      </c>
      <c r="M6" s="28" t="s">
        <v>244</v>
      </c>
      <c r="N6" s="28" t="s">
        <v>188</v>
      </c>
      <c r="O6" s="28"/>
      <c r="P6" s="29"/>
      <c r="Q6" s="28" t="s">
        <v>162</v>
      </c>
      <c r="R6" s="29"/>
    </row>
    <row r="7" spans="2:18" ht="15.75" x14ac:dyDescent="0.25">
      <c r="B7" s="31"/>
      <c r="C7" s="28" t="s">
        <v>215</v>
      </c>
      <c r="D7" s="28" t="s">
        <v>218</v>
      </c>
      <c r="E7" s="29"/>
      <c r="F7" s="28" t="s">
        <v>223</v>
      </c>
      <c r="G7" s="28"/>
      <c r="H7" s="28" t="s">
        <v>230</v>
      </c>
      <c r="J7" s="28" t="s">
        <v>236</v>
      </c>
      <c r="K7" s="29"/>
      <c r="L7" s="28" t="s">
        <v>243</v>
      </c>
      <c r="M7" s="28" t="s">
        <v>248</v>
      </c>
      <c r="N7" s="28"/>
      <c r="O7" s="28"/>
      <c r="P7" s="29"/>
      <c r="Q7" s="28"/>
      <c r="R7" s="29"/>
    </row>
    <row r="8" spans="2:18" ht="15.75" x14ac:dyDescent="0.25">
      <c r="B8" s="31"/>
      <c r="C8" s="28" t="s">
        <v>216</v>
      </c>
      <c r="D8" s="28" t="s">
        <v>219</v>
      </c>
      <c r="E8" s="29"/>
      <c r="F8" s="28" t="s">
        <v>225</v>
      </c>
      <c r="G8" s="28"/>
      <c r="H8" s="28"/>
      <c r="I8" s="28"/>
      <c r="J8" s="28" t="s">
        <v>182</v>
      </c>
      <c r="K8" s="29"/>
      <c r="L8" s="28" t="s">
        <v>183</v>
      </c>
      <c r="M8" s="28" t="s">
        <v>249</v>
      </c>
      <c r="N8" s="28"/>
      <c r="O8" s="28"/>
      <c r="P8" s="29"/>
      <c r="Q8" s="28"/>
      <c r="R8" s="29"/>
    </row>
    <row r="9" spans="2:18" ht="15.75" x14ac:dyDescent="0.25">
      <c r="B9" s="31"/>
      <c r="C9" s="28"/>
      <c r="D9" s="28"/>
      <c r="E9" s="29"/>
      <c r="F9" s="28" t="s">
        <v>272</v>
      </c>
      <c r="G9" s="28"/>
      <c r="H9" s="28"/>
      <c r="I9" s="28"/>
      <c r="J9" s="28" t="s">
        <v>237</v>
      </c>
      <c r="K9" s="29"/>
      <c r="L9" s="28"/>
      <c r="M9" s="28"/>
      <c r="N9" s="28"/>
      <c r="O9" s="28"/>
      <c r="P9" s="29"/>
      <c r="Q9" s="28"/>
      <c r="R9" s="29"/>
    </row>
    <row r="10" spans="2:18" x14ac:dyDescent="0.2">
      <c r="C10" s="66"/>
      <c r="D10" s="66"/>
      <c r="E10" s="64"/>
      <c r="F10" s="66"/>
      <c r="G10" s="66"/>
      <c r="H10" s="66"/>
      <c r="I10" s="66"/>
      <c r="J10" s="66"/>
      <c r="K10" s="64"/>
      <c r="L10" s="66"/>
      <c r="M10" s="66"/>
      <c r="N10" s="66"/>
      <c r="O10" s="66"/>
      <c r="P10" s="64"/>
      <c r="Q10" s="66"/>
      <c r="R10" s="64"/>
    </row>
    <row r="11" spans="2:18" x14ac:dyDescent="0.2">
      <c r="C11" s="66"/>
      <c r="D11" s="66"/>
      <c r="E11" s="64"/>
      <c r="F11" s="66"/>
      <c r="G11" s="66"/>
      <c r="H11" s="66"/>
      <c r="I11" s="66"/>
      <c r="J11" s="66"/>
      <c r="K11" s="64"/>
      <c r="L11" s="66"/>
      <c r="M11" s="66"/>
      <c r="N11" s="66"/>
      <c r="O11" s="66"/>
      <c r="P11" s="64"/>
      <c r="Q11" s="66"/>
      <c r="R11" s="64"/>
    </row>
    <row r="12" spans="2:18" x14ac:dyDescent="0.2">
      <c r="C12" s="66"/>
      <c r="D12" s="66"/>
      <c r="E12" s="64"/>
      <c r="F12" s="66"/>
      <c r="G12" s="66"/>
      <c r="H12" s="66"/>
      <c r="I12" s="66"/>
      <c r="J12" s="66"/>
      <c r="K12" s="64"/>
      <c r="L12" s="66"/>
      <c r="M12" s="66"/>
      <c r="N12" s="66"/>
      <c r="O12" s="66"/>
      <c r="P12" s="64"/>
      <c r="Q12" s="66"/>
      <c r="R12" s="64"/>
    </row>
    <row r="13" spans="2:18" x14ac:dyDescent="0.2">
      <c r="C13" s="66"/>
      <c r="D13" s="66"/>
      <c r="E13" s="64"/>
      <c r="F13" s="66"/>
      <c r="G13" s="66"/>
      <c r="H13" s="66"/>
      <c r="I13" s="66"/>
      <c r="J13" s="66"/>
      <c r="K13" s="64"/>
      <c r="L13" s="66"/>
      <c r="M13" s="66"/>
      <c r="N13" s="66"/>
      <c r="O13" s="66"/>
      <c r="P13" s="64"/>
      <c r="Q13" s="66"/>
      <c r="R13" s="64"/>
    </row>
    <row r="14" spans="2:18" x14ac:dyDescent="0.2">
      <c r="C14" s="66"/>
      <c r="D14" s="66"/>
      <c r="E14" s="64"/>
      <c r="F14" s="66"/>
      <c r="G14" s="66"/>
      <c r="H14" s="66"/>
      <c r="I14" s="66"/>
      <c r="J14" s="66"/>
      <c r="K14" s="64"/>
      <c r="L14" s="66"/>
      <c r="M14" s="66"/>
      <c r="N14" s="66"/>
      <c r="O14" s="66"/>
      <c r="P14" s="64"/>
      <c r="Q14" s="66"/>
      <c r="R14" s="64"/>
    </row>
    <row r="15" spans="2:18" x14ac:dyDescent="0.2">
      <c r="C15" s="76"/>
      <c r="D15" s="76"/>
      <c r="E15" s="64"/>
      <c r="F15" s="76"/>
      <c r="G15" s="76"/>
      <c r="H15" s="76"/>
      <c r="I15" s="66"/>
      <c r="J15" s="76"/>
      <c r="K15" s="64"/>
      <c r="L15" s="66"/>
      <c r="M15" s="76"/>
      <c r="N15" s="76"/>
      <c r="O15" s="76"/>
      <c r="P15" s="64"/>
      <c r="Q15" s="76"/>
      <c r="R15" s="64"/>
    </row>
    <row r="16" spans="2:18" ht="13.5" thickBot="1" x14ac:dyDescent="0.25">
      <c r="C16" s="77"/>
      <c r="D16" s="77"/>
      <c r="E16" s="65"/>
      <c r="F16" s="77"/>
      <c r="G16" s="77"/>
      <c r="H16" s="77"/>
      <c r="I16" s="67"/>
      <c r="J16" s="77"/>
      <c r="K16" s="65"/>
      <c r="L16" s="67"/>
      <c r="M16" s="77"/>
      <c r="N16" s="77"/>
      <c r="O16" s="77"/>
      <c r="P16" s="65"/>
      <c r="Q16" s="77"/>
      <c r="R16" s="65"/>
    </row>
    <row r="18" spans="3:15" ht="18.75" x14ac:dyDescent="0.3">
      <c r="C18" s="68" t="s">
        <v>271</v>
      </c>
      <c r="D18" s="61"/>
      <c r="E18" s="61"/>
      <c r="F18" s="61"/>
      <c r="G18" s="61"/>
      <c r="H18" s="61"/>
    </row>
    <row r="26" spans="3:15" x14ac:dyDescent="0.2">
      <c r="O26" s="2"/>
    </row>
  </sheetData>
  <mergeCells count="5">
    <mergeCell ref="C2:E2"/>
    <mergeCell ref="F2:H2"/>
    <mergeCell ref="M2:P2"/>
    <mergeCell ref="Q2:R2"/>
    <mergeCell ref="J2:K2"/>
  </mergeCells>
  <hyperlinks>
    <hyperlink ref="R3" r:id="rId1" display="https://musclewiki.com/muscle/Obliques" xr:uid="{8ED9CE23-72AA-43CF-B054-A99F5A9C537C}"/>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15BBF-5035-4B5E-9AC4-5F0DE26F27F9}">
  <sheetPr codeName="Sheet7">
    <tabColor theme="4" tint="0.59999389629810485"/>
  </sheetPr>
  <dimension ref="B1:V219"/>
  <sheetViews>
    <sheetView showGridLines="0" workbookViewId="0">
      <pane ySplit="3" topLeftCell="A103" activePane="bottomLeft" state="frozen"/>
      <selection pane="bottomLeft" activeCell="D110" sqref="D110"/>
    </sheetView>
  </sheetViews>
  <sheetFormatPr defaultColWidth="15.7109375" defaultRowHeight="12.75" x14ac:dyDescent="0.2"/>
  <cols>
    <col min="2" max="2" width="11.42578125" bestFit="1" customWidth="1"/>
    <col min="3" max="3" width="23.5703125" bestFit="1" customWidth="1"/>
    <col min="4" max="4" width="8.28515625" bestFit="1" customWidth="1"/>
    <col min="5" max="5" width="5.42578125" bestFit="1" customWidth="1"/>
    <col min="6" max="6" width="5.85546875" bestFit="1" customWidth="1"/>
    <col min="7" max="7" width="14.42578125" bestFit="1" customWidth="1"/>
    <col min="8" max="8" width="23.5703125" bestFit="1" customWidth="1"/>
    <col min="9" max="9" width="8.28515625" bestFit="1" customWidth="1"/>
    <col min="10" max="10" width="5.42578125" bestFit="1" customWidth="1"/>
    <col min="11" max="11" width="5.85546875" bestFit="1" customWidth="1"/>
    <col min="12" max="12" width="14.42578125" bestFit="1" customWidth="1"/>
    <col min="13" max="13" width="23.5703125" bestFit="1" customWidth="1"/>
    <col min="14" max="14" width="8.28515625" bestFit="1" customWidth="1"/>
    <col min="15" max="15" width="5.42578125" bestFit="1" customWidth="1"/>
    <col min="16" max="16" width="5.85546875" bestFit="1" customWidth="1"/>
    <col min="17" max="17" width="14.42578125" bestFit="1" customWidth="1"/>
    <col min="18" max="18" width="23.5703125" bestFit="1" customWidth="1"/>
    <col min="19" max="19" width="8.28515625" bestFit="1" customWidth="1"/>
    <col min="20" max="20" width="5.42578125" bestFit="1" customWidth="1"/>
    <col min="21" max="21" width="5.85546875" bestFit="1" customWidth="1"/>
    <col min="22" max="22" width="14.42578125" bestFit="1" customWidth="1"/>
  </cols>
  <sheetData>
    <row r="1" spans="2:22" ht="13.5" thickBot="1" x14ac:dyDescent="0.25"/>
    <row r="2" spans="2:22" ht="15.75" x14ac:dyDescent="0.25">
      <c r="B2" s="113"/>
      <c r="C2" s="258" t="s">
        <v>158</v>
      </c>
      <c r="D2" s="259"/>
      <c r="E2" s="259"/>
      <c r="F2" s="259"/>
      <c r="G2" s="259"/>
      <c r="H2" s="260" t="s">
        <v>159</v>
      </c>
      <c r="I2" s="261"/>
      <c r="J2" s="261"/>
      <c r="K2" s="261"/>
      <c r="L2" s="262"/>
      <c r="M2" s="260" t="s">
        <v>160</v>
      </c>
      <c r="N2" s="261"/>
      <c r="O2" s="261"/>
      <c r="P2" s="261"/>
      <c r="Q2" s="262"/>
      <c r="R2" s="263" t="s">
        <v>161</v>
      </c>
      <c r="S2" s="261"/>
      <c r="T2" s="261"/>
      <c r="U2" s="261"/>
      <c r="V2" s="262"/>
    </row>
    <row r="3" spans="2:22" ht="16.5" thickBot="1" x14ac:dyDescent="0.3">
      <c r="B3" s="114" t="s">
        <v>153</v>
      </c>
      <c r="C3" s="115" t="s">
        <v>154</v>
      </c>
      <c r="D3" s="116" t="s">
        <v>156</v>
      </c>
      <c r="E3" s="116" t="s">
        <v>155</v>
      </c>
      <c r="F3" s="116" t="s">
        <v>187</v>
      </c>
      <c r="G3" s="117" t="s">
        <v>157</v>
      </c>
      <c r="H3" s="115" t="s">
        <v>154</v>
      </c>
      <c r="I3" s="116" t="s">
        <v>156</v>
      </c>
      <c r="J3" s="116" t="s">
        <v>155</v>
      </c>
      <c r="K3" s="116" t="s">
        <v>187</v>
      </c>
      <c r="L3" s="118" t="s">
        <v>157</v>
      </c>
      <c r="M3" s="115" t="s">
        <v>154</v>
      </c>
      <c r="N3" s="116" t="s">
        <v>156</v>
      </c>
      <c r="O3" s="116" t="s">
        <v>155</v>
      </c>
      <c r="P3" s="116" t="s">
        <v>187</v>
      </c>
      <c r="Q3" s="118" t="s">
        <v>157</v>
      </c>
      <c r="R3" s="119" t="s">
        <v>154</v>
      </c>
      <c r="S3" s="116" t="s">
        <v>156</v>
      </c>
      <c r="T3" s="116" t="s">
        <v>155</v>
      </c>
      <c r="U3" s="116" t="s">
        <v>187</v>
      </c>
      <c r="V3" s="118" t="s">
        <v>157</v>
      </c>
    </row>
    <row r="4" spans="2:22" ht="15.75" x14ac:dyDescent="0.25">
      <c r="B4" s="254" t="s">
        <v>163</v>
      </c>
      <c r="C4" s="246" t="s">
        <v>273</v>
      </c>
      <c r="D4" s="73">
        <v>10</v>
      </c>
      <c r="E4" s="73">
        <v>6</v>
      </c>
      <c r="F4" s="221">
        <f>COUNT(D4:D9)</f>
        <v>4</v>
      </c>
      <c r="G4" s="225">
        <f>SUMPRODUCT(D4:D9,E4:E9)</f>
        <v>420</v>
      </c>
      <c r="H4" s="246"/>
      <c r="I4" s="73"/>
      <c r="J4" s="73"/>
      <c r="K4" s="221">
        <f>COUNT(I4:I9)</f>
        <v>0</v>
      </c>
      <c r="L4" s="225">
        <f>SUMPRODUCT(I4:I9,J4:J9)</f>
        <v>0</v>
      </c>
      <c r="M4" s="246"/>
      <c r="N4" s="73"/>
      <c r="O4" s="73"/>
      <c r="P4" s="221">
        <f>COUNT(N4:N9)</f>
        <v>0</v>
      </c>
      <c r="Q4" s="225">
        <f>SUMPRODUCT(N4:N9,O4:O9)</f>
        <v>0</v>
      </c>
      <c r="R4" s="246"/>
      <c r="S4" s="73"/>
      <c r="T4" s="73"/>
      <c r="U4" s="221">
        <f>COUNT(S4:S9)</f>
        <v>0</v>
      </c>
      <c r="V4" s="225">
        <f>SUMPRODUCT(S4:S9,T4:T9)</f>
        <v>0</v>
      </c>
    </row>
    <row r="5" spans="2:22" ht="15.75" x14ac:dyDescent="0.25">
      <c r="B5" s="256"/>
      <c r="C5" s="235"/>
      <c r="D5" s="70">
        <v>20</v>
      </c>
      <c r="E5" s="70">
        <v>4</v>
      </c>
      <c r="F5" s="222"/>
      <c r="G5" s="219"/>
      <c r="H5" s="235"/>
      <c r="I5" s="70"/>
      <c r="J5" s="70"/>
      <c r="K5" s="222"/>
      <c r="L5" s="219"/>
      <c r="M5" s="235"/>
      <c r="N5" s="70"/>
      <c r="O5" s="70"/>
      <c r="P5" s="222"/>
      <c r="Q5" s="219"/>
      <c r="R5" s="235"/>
      <c r="S5" s="70"/>
      <c r="T5" s="70"/>
      <c r="U5" s="222"/>
      <c r="V5" s="219"/>
    </row>
    <row r="6" spans="2:22" ht="15.75" x14ac:dyDescent="0.25">
      <c r="B6" s="256"/>
      <c r="C6" s="235"/>
      <c r="D6" s="70">
        <v>30</v>
      </c>
      <c r="E6" s="70">
        <v>4</v>
      </c>
      <c r="F6" s="222"/>
      <c r="G6" s="219"/>
      <c r="H6" s="235"/>
      <c r="I6" s="70"/>
      <c r="J6" s="70"/>
      <c r="K6" s="222"/>
      <c r="L6" s="219"/>
      <c r="M6" s="235"/>
      <c r="N6" s="70"/>
      <c r="O6" s="70"/>
      <c r="P6" s="222"/>
      <c r="Q6" s="219"/>
      <c r="R6" s="235"/>
      <c r="S6" s="70"/>
      <c r="T6" s="70"/>
      <c r="U6" s="222"/>
      <c r="V6" s="219"/>
    </row>
    <row r="7" spans="2:22" ht="15.75" x14ac:dyDescent="0.25">
      <c r="B7" s="256"/>
      <c r="C7" s="235"/>
      <c r="D7" s="70">
        <v>40</v>
      </c>
      <c r="E7" s="70">
        <v>4</v>
      </c>
      <c r="F7" s="222"/>
      <c r="G7" s="219"/>
      <c r="H7" s="235"/>
      <c r="I7" s="70"/>
      <c r="J7" s="70"/>
      <c r="K7" s="222"/>
      <c r="L7" s="219"/>
      <c r="M7" s="235"/>
      <c r="N7" s="70"/>
      <c r="O7" s="70"/>
      <c r="P7" s="222"/>
      <c r="Q7" s="219"/>
      <c r="R7" s="235"/>
      <c r="S7" s="70"/>
      <c r="T7" s="70"/>
      <c r="U7" s="222"/>
      <c r="V7" s="219"/>
    </row>
    <row r="8" spans="2:22" ht="15.75" x14ac:dyDescent="0.25">
      <c r="B8" s="256"/>
      <c r="C8" s="235"/>
      <c r="D8" s="70"/>
      <c r="E8" s="70"/>
      <c r="F8" s="222"/>
      <c r="G8" s="219"/>
      <c r="H8" s="235"/>
      <c r="I8" s="70"/>
      <c r="J8" s="70"/>
      <c r="K8" s="222"/>
      <c r="L8" s="219"/>
      <c r="M8" s="235"/>
      <c r="N8" s="70"/>
      <c r="O8" s="70"/>
      <c r="P8" s="222"/>
      <c r="Q8" s="219"/>
      <c r="R8" s="235"/>
      <c r="S8" s="70"/>
      <c r="T8" s="70"/>
      <c r="U8" s="222"/>
      <c r="V8" s="219"/>
    </row>
    <row r="9" spans="2:22" ht="16.5" thickBot="1" x14ac:dyDescent="0.3">
      <c r="B9" s="256"/>
      <c r="C9" s="245"/>
      <c r="D9" s="185"/>
      <c r="E9" s="185"/>
      <c r="F9" s="223"/>
      <c r="G9" s="264"/>
      <c r="H9" s="245"/>
      <c r="I9" s="185"/>
      <c r="J9" s="185"/>
      <c r="K9" s="223"/>
      <c r="L9" s="264"/>
      <c r="M9" s="245"/>
      <c r="N9" s="185"/>
      <c r="O9" s="185"/>
      <c r="P9" s="223"/>
      <c r="Q9" s="264"/>
      <c r="R9" s="245"/>
      <c r="S9" s="185"/>
      <c r="T9" s="185"/>
      <c r="U9" s="223"/>
      <c r="V9" s="264"/>
    </row>
    <row r="10" spans="2:22" ht="16.5" thickTop="1" x14ac:dyDescent="0.25">
      <c r="B10" s="256"/>
      <c r="C10" s="244" t="s">
        <v>188</v>
      </c>
      <c r="D10" s="186">
        <v>10</v>
      </c>
      <c r="E10" s="186">
        <v>15</v>
      </c>
      <c r="F10" s="224">
        <f>COUNT(D10:D15)</f>
        <v>4</v>
      </c>
      <c r="G10" s="239">
        <f>SUMPRODUCT(D10:D15,E10:E15)</f>
        <v>750</v>
      </c>
      <c r="H10" s="187"/>
      <c r="I10" s="186"/>
      <c r="J10" s="186"/>
      <c r="K10" s="229">
        <f t="shared" ref="K10" si="0">COUNT(I10:I15)</f>
        <v>0</v>
      </c>
      <c r="L10" s="216">
        <f t="shared" ref="L10" si="1">SUMPRODUCT(I10:I15,J10:J15)</f>
        <v>0</v>
      </c>
      <c r="M10" s="232"/>
      <c r="N10" s="186"/>
      <c r="O10" s="186"/>
      <c r="P10" s="229">
        <f t="shared" ref="P10" si="2">COUNT(N10:N15)</f>
        <v>0</v>
      </c>
      <c r="Q10" s="216">
        <f t="shared" ref="Q10" si="3">SUMPRODUCT(N10:N15,O10:O15)</f>
        <v>0</v>
      </c>
      <c r="R10" s="232"/>
      <c r="S10" s="186"/>
      <c r="T10" s="186"/>
      <c r="U10" s="229">
        <f t="shared" ref="U10" si="4">COUNT(S10:S15)</f>
        <v>0</v>
      </c>
      <c r="V10" s="216">
        <f t="shared" ref="V10" si="5">SUMPRODUCT(S10:S15,T10:T15)</f>
        <v>0</v>
      </c>
    </row>
    <row r="11" spans="2:22" ht="15.75" x14ac:dyDescent="0.25">
      <c r="B11" s="256"/>
      <c r="C11" s="235"/>
      <c r="D11" s="70">
        <v>20</v>
      </c>
      <c r="E11" s="70">
        <v>12</v>
      </c>
      <c r="F11" s="222"/>
      <c r="G11" s="240"/>
      <c r="H11" s="188"/>
      <c r="I11" s="70"/>
      <c r="J11" s="70"/>
      <c r="K11" s="230"/>
      <c r="L11" s="217"/>
      <c r="M11" s="233"/>
      <c r="N11" s="70"/>
      <c r="O11" s="70"/>
      <c r="P11" s="230"/>
      <c r="Q11" s="217"/>
      <c r="R11" s="233"/>
      <c r="S11" s="70"/>
      <c r="T11" s="70"/>
      <c r="U11" s="230"/>
      <c r="V11" s="217"/>
    </row>
    <row r="12" spans="2:22" ht="15.75" x14ac:dyDescent="0.25">
      <c r="B12" s="256"/>
      <c r="C12" s="235"/>
      <c r="D12" s="70">
        <v>30</v>
      </c>
      <c r="E12" s="70">
        <v>12</v>
      </c>
      <c r="F12" s="222"/>
      <c r="G12" s="240"/>
      <c r="H12" s="188"/>
      <c r="I12" s="70"/>
      <c r="J12" s="70"/>
      <c r="K12" s="230"/>
      <c r="L12" s="217"/>
      <c r="M12" s="233"/>
      <c r="N12" s="70"/>
      <c r="O12" s="70"/>
      <c r="P12" s="230"/>
      <c r="Q12" s="217"/>
      <c r="R12" s="233"/>
      <c r="S12" s="70"/>
      <c r="T12" s="70"/>
      <c r="U12" s="230"/>
      <c r="V12" s="217"/>
    </row>
    <row r="13" spans="2:22" ht="15.75" x14ac:dyDescent="0.25">
      <c r="B13" s="256"/>
      <c r="C13" s="235"/>
      <c r="D13" s="70">
        <v>40</v>
      </c>
      <c r="E13" s="70"/>
      <c r="F13" s="222"/>
      <c r="G13" s="240"/>
      <c r="H13" s="188"/>
      <c r="I13" s="70"/>
      <c r="J13" s="70"/>
      <c r="K13" s="230"/>
      <c r="L13" s="217"/>
      <c r="M13" s="233"/>
      <c r="N13" s="70"/>
      <c r="O13" s="70"/>
      <c r="P13" s="230"/>
      <c r="Q13" s="217"/>
      <c r="R13" s="233"/>
      <c r="S13" s="70"/>
      <c r="T13" s="70"/>
      <c r="U13" s="230"/>
      <c r="V13" s="217"/>
    </row>
    <row r="14" spans="2:22" ht="15.75" x14ac:dyDescent="0.25">
      <c r="B14" s="256"/>
      <c r="C14" s="235"/>
      <c r="D14" s="70"/>
      <c r="E14" s="70"/>
      <c r="F14" s="222"/>
      <c r="G14" s="240"/>
      <c r="H14" s="188"/>
      <c r="I14" s="70"/>
      <c r="J14" s="70"/>
      <c r="K14" s="230"/>
      <c r="L14" s="217"/>
      <c r="M14" s="233"/>
      <c r="N14" s="70"/>
      <c r="O14" s="70"/>
      <c r="P14" s="230"/>
      <c r="Q14" s="217"/>
      <c r="R14" s="233"/>
      <c r="S14" s="70"/>
      <c r="T14" s="70"/>
      <c r="U14" s="230"/>
      <c r="V14" s="217"/>
    </row>
    <row r="15" spans="2:22" ht="16.5" thickBot="1" x14ac:dyDescent="0.3">
      <c r="B15" s="256"/>
      <c r="C15" s="245"/>
      <c r="D15" s="185"/>
      <c r="E15" s="185"/>
      <c r="F15" s="223"/>
      <c r="G15" s="241"/>
      <c r="H15" s="189"/>
      <c r="I15" s="185"/>
      <c r="J15" s="185"/>
      <c r="K15" s="231"/>
      <c r="L15" s="218"/>
      <c r="M15" s="234"/>
      <c r="N15" s="185"/>
      <c r="O15" s="185"/>
      <c r="P15" s="231"/>
      <c r="Q15" s="218"/>
      <c r="R15" s="234"/>
      <c r="S15" s="185"/>
      <c r="T15" s="185"/>
      <c r="U15" s="231"/>
      <c r="V15" s="218"/>
    </row>
    <row r="16" spans="2:22" ht="16.5" thickTop="1" x14ac:dyDescent="0.25">
      <c r="B16" s="256"/>
      <c r="C16" s="244" t="s">
        <v>212</v>
      </c>
      <c r="D16" s="186">
        <v>10</v>
      </c>
      <c r="E16" s="186">
        <v>15</v>
      </c>
      <c r="F16" s="224">
        <f t="shared" ref="F16" si="6">COUNT(D16:D21)</f>
        <v>4</v>
      </c>
      <c r="G16" s="239">
        <f>SUMPRODUCT(D16:D21,E16:E21)</f>
        <v>750</v>
      </c>
      <c r="H16" s="232"/>
      <c r="I16" s="186"/>
      <c r="J16" s="186"/>
      <c r="K16" s="229">
        <f t="shared" ref="K16" si="7">COUNT(I16:I21)</f>
        <v>0</v>
      </c>
      <c r="L16" s="216">
        <f t="shared" ref="L16" si="8">SUMPRODUCT(I16:I21,J16:J21)</f>
        <v>0</v>
      </c>
      <c r="M16" s="232"/>
      <c r="N16" s="186"/>
      <c r="O16" s="186"/>
      <c r="P16" s="229">
        <f t="shared" ref="P16" si="9">COUNT(N16:N21)</f>
        <v>0</v>
      </c>
      <c r="Q16" s="216">
        <f t="shared" ref="Q16" si="10">SUMPRODUCT(N16:N21,O16:O21)</f>
        <v>0</v>
      </c>
      <c r="R16" s="232"/>
      <c r="S16" s="186"/>
      <c r="T16" s="186"/>
      <c r="U16" s="229">
        <f t="shared" ref="U16" si="11">COUNT(S16:S21)</f>
        <v>0</v>
      </c>
      <c r="V16" s="216">
        <f t="shared" ref="V16" si="12">SUMPRODUCT(S16:S21,T16:T21)</f>
        <v>0</v>
      </c>
    </row>
    <row r="17" spans="2:22" ht="15.75" x14ac:dyDescent="0.25">
      <c r="B17" s="256"/>
      <c r="C17" s="235"/>
      <c r="D17" s="70">
        <v>20</v>
      </c>
      <c r="E17" s="70">
        <v>12</v>
      </c>
      <c r="F17" s="222"/>
      <c r="G17" s="240"/>
      <c r="H17" s="233"/>
      <c r="I17" s="70"/>
      <c r="J17" s="70"/>
      <c r="K17" s="230"/>
      <c r="L17" s="217"/>
      <c r="M17" s="233"/>
      <c r="N17" s="70"/>
      <c r="O17" s="70"/>
      <c r="P17" s="230"/>
      <c r="Q17" s="217"/>
      <c r="R17" s="233"/>
      <c r="S17" s="70"/>
      <c r="T17" s="70"/>
      <c r="U17" s="230"/>
      <c r="V17" s="217"/>
    </row>
    <row r="18" spans="2:22" ht="15.75" x14ac:dyDescent="0.25">
      <c r="B18" s="256"/>
      <c r="C18" s="235"/>
      <c r="D18" s="70">
        <v>30</v>
      </c>
      <c r="E18" s="70">
        <v>12</v>
      </c>
      <c r="F18" s="222"/>
      <c r="G18" s="240"/>
      <c r="H18" s="233"/>
      <c r="I18" s="70"/>
      <c r="J18" s="70"/>
      <c r="K18" s="230"/>
      <c r="L18" s="217"/>
      <c r="M18" s="233"/>
      <c r="N18" s="70"/>
      <c r="O18" s="70"/>
      <c r="P18" s="230"/>
      <c r="Q18" s="217"/>
      <c r="R18" s="233"/>
      <c r="S18" s="70"/>
      <c r="T18" s="70"/>
      <c r="U18" s="230"/>
      <c r="V18" s="217"/>
    </row>
    <row r="19" spans="2:22" ht="15.75" x14ac:dyDescent="0.25">
      <c r="B19" s="256"/>
      <c r="C19" s="235"/>
      <c r="D19" s="70">
        <v>40</v>
      </c>
      <c r="E19" s="70"/>
      <c r="F19" s="222"/>
      <c r="G19" s="240"/>
      <c r="H19" s="233"/>
      <c r="I19" s="70"/>
      <c r="J19" s="70"/>
      <c r="K19" s="230"/>
      <c r="L19" s="217"/>
      <c r="M19" s="233"/>
      <c r="N19" s="70"/>
      <c r="O19" s="70"/>
      <c r="P19" s="230"/>
      <c r="Q19" s="217"/>
      <c r="R19" s="233"/>
      <c r="S19" s="70"/>
      <c r="T19" s="70"/>
      <c r="U19" s="230"/>
      <c r="V19" s="217"/>
    </row>
    <row r="20" spans="2:22" ht="15.75" x14ac:dyDescent="0.25">
      <c r="B20" s="256"/>
      <c r="C20" s="235"/>
      <c r="D20" s="70"/>
      <c r="E20" s="70"/>
      <c r="F20" s="222"/>
      <c r="G20" s="240"/>
      <c r="H20" s="233"/>
      <c r="I20" s="70"/>
      <c r="J20" s="70"/>
      <c r="K20" s="230"/>
      <c r="L20" s="217"/>
      <c r="M20" s="233"/>
      <c r="N20" s="70"/>
      <c r="O20" s="70"/>
      <c r="P20" s="230"/>
      <c r="Q20" s="217"/>
      <c r="R20" s="233"/>
      <c r="S20" s="70"/>
      <c r="T20" s="70"/>
      <c r="U20" s="230"/>
      <c r="V20" s="217"/>
    </row>
    <row r="21" spans="2:22" ht="16.5" thickBot="1" x14ac:dyDescent="0.3">
      <c r="B21" s="256"/>
      <c r="C21" s="245"/>
      <c r="D21" s="185"/>
      <c r="E21" s="185"/>
      <c r="F21" s="223"/>
      <c r="G21" s="241"/>
      <c r="H21" s="234"/>
      <c r="I21" s="185"/>
      <c r="J21" s="185"/>
      <c r="K21" s="231"/>
      <c r="L21" s="218"/>
      <c r="M21" s="234"/>
      <c r="N21" s="185"/>
      <c r="O21" s="185"/>
      <c r="P21" s="231"/>
      <c r="Q21" s="218"/>
      <c r="R21" s="234"/>
      <c r="S21" s="185"/>
      <c r="T21" s="185"/>
      <c r="U21" s="231"/>
      <c r="V21" s="218"/>
    </row>
    <row r="22" spans="2:22" ht="16.5" thickTop="1" x14ac:dyDescent="0.25">
      <c r="B22" s="256"/>
      <c r="C22" s="244" t="s">
        <v>182</v>
      </c>
      <c r="D22" s="186">
        <v>10</v>
      </c>
      <c r="E22" s="186">
        <v>15</v>
      </c>
      <c r="F22" s="224">
        <f t="shared" ref="F22" si="13">COUNT(D22:D27)</f>
        <v>3</v>
      </c>
      <c r="G22" s="239">
        <f>SUMPRODUCT(D22:D27,E22:E27)</f>
        <v>750</v>
      </c>
      <c r="H22" s="232"/>
      <c r="I22" s="186"/>
      <c r="J22" s="186"/>
      <c r="K22" s="229">
        <f t="shared" ref="K22" si="14">COUNT(I22:I27)</f>
        <v>0</v>
      </c>
      <c r="L22" s="216">
        <f t="shared" ref="L22" si="15">SUMPRODUCT(I22:I27,J22:J27)</f>
        <v>0</v>
      </c>
      <c r="M22" s="232"/>
      <c r="N22" s="186"/>
      <c r="O22" s="186"/>
      <c r="P22" s="229">
        <f t="shared" ref="P22" si="16">COUNT(N22:N27)</f>
        <v>0</v>
      </c>
      <c r="Q22" s="216">
        <f t="shared" ref="Q22" si="17">SUMPRODUCT(N22:N27,O22:O27)</f>
        <v>0</v>
      </c>
      <c r="R22" s="232"/>
      <c r="S22" s="186"/>
      <c r="T22" s="186"/>
      <c r="U22" s="229">
        <f t="shared" ref="U22" si="18">COUNT(S22:S27)</f>
        <v>0</v>
      </c>
      <c r="V22" s="216">
        <f t="shared" ref="V22" si="19">SUMPRODUCT(S22:S27,T22:T27)</f>
        <v>0</v>
      </c>
    </row>
    <row r="23" spans="2:22" ht="15.75" x14ac:dyDescent="0.25">
      <c r="B23" s="256"/>
      <c r="C23" s="235"/>
      <c r="D23" s="70">
        <v>20</v>
      </c>
      <c r="E23" s="70">
        <v>12</v>
      </c>
      <c r="F23" s="222"/>
      <c r="G23" s="240"/>
      <c r="H23" s="233"/>
      <c r="I23" s="70"/>
      <c r="J23" s="70"/>
      <c r="K23" s="230"/>
      <c r="L23" s="217"/>
      <c r="M23" s="233"/>
      <c r="N23" s="70"/>
      <c r="O23" s="70"/>
      <c r="P23" s="230"/>
      <c r="Q23" s="217"/>
      <c r="R23" s="233"/>
      <c r="S23" s="70"/>
      <c r="T23" s="70"/>
      <c r="U23" s="230"/>
      <c r="V23" s="217"/>
    </row>
    <row r="24" spans="2:22" ht="15.75" x14ac:dyDescent="0.25">
      <c r="B24" s="256"/>
      <c r="C24" s="235"/>
      <c r="D24" s="70">
        <v>30</v>
      </c>
      <c r="E24" s="70">
        <v>12</v>
      </c>
      <c r="F24" s="222"/>
      <c r="G24" s="240"/>
      <c r="H24" s="233"/>
      <c r="I24" s="70"/>
      <c r="J24" s="70"/>
      <c r="K24" s="230"/>
      <c r="L24" s="217"/>
      <c r="M24" s="233"/>
      <c r="N24" s="70"/>
      <c r="O24" s="70"/>
      <c r="P24" s="230"/>
      <c r="Q24" s="217"/>
      <c r="R24" s="233"/>
      <c r="S24" s="70"/>
      <c r="T24" s="70"/>
      <c r="U24" s="230"/>
      <c r="V24" s="217"/>
    </row>
    <row r="25" spans="2:22" ht="15.75" x14ac:dyDescent="0.25">
      <c r="B25" s="256"/>
      <c r="C25" s="235"/>
      <c r="D25" s="70"/>
      <c r="E25" s="70"/>
      <c r="F25" s="222"/>
      <c r="G25" s="240"/>
      <c r="H25" s="233"/>
      <c r="I25" s="70"/>
      <c r="J25" s="70"/>
      <c r="K25" s="230"/>
      <c r="L25" s="217"/>
      <c r="M25" s="233"/>
      <c r="N25" s="70"/>
      <c r="O25" s="70"/>
      <c r="P25" s="230"/>
      <c r="Q25" s="217"/>
      <c r="R25" s="233"/>
      <c r="S25" s="70"/>
      <c r="T25" s="70"/>
      <c r="U25" s="230"/>
      <c r="V25" s="217"/>
    </row>
    <row r="26" spans="2:22" ht="15.75" x14ac:dyDescent="0.25">
      <c r="B26" s="256"/>
      <c r="C26" s="235"/>
      <c r="D26" s="70"/>
      <c r="E26" s="70"/>
      <c r="F26" s="222"/>
      <c r="G26" s="240"/>
      <c r="H26" s="233"/>
      <c r="I26" s="70"/>
      <c r="J26" s="70"/>
      <c r="K26" s="230"/>
      <c r="L26" s="217"/>
      <c r="M26" s="233"/>
      <c r="N26" s="70"/>
      <c r="O26" s="70"/>
      <c r="P26" s="230"/>
      <c r="Q26" s="217"/>
      <c r="R26" s="233"/>
      <c r="S26" s="70"/>
      <c r="T26" s="70"/>
      <c r="U26" s="230"/>
      <c r="V26" s="217"/>
    </row>
    <row r="27" spans="2:22" ht="16.5" thickBot="1" x14ac:dyDescent="0.3">
      <c r="B27" s="256"/>
      <c r="C27" s="245"/>
      <c r="D27" s="185"/>
      <c r="E27" s="185"/>
      <c r="F27" s="223"/>
      <c r="G27" s="241"/>
      <c r="H27" s="234"/>
      <c r="I27" s="185"/>
      <c r="J27" s="185"/>
      <c r="K27" s="231"/>
      <c r="L27" s="218"/>
      <c r="M27" s="234"/>
      <c r="N27" s="185"/>
      <c r="O27" s="185"/>
      <c r="P27" s="231"/>
      <c r="Q27" s="218"/>
      <c r="R27" s="234"/>
      <c r="S27" s="185"/>
      <c r="T27" s="185"/>
      <c r="U27" s="231"/>
      <c r="V27" s="218"/>
    </row>
    <row r="28" spans="2:22" ht="16.5" thickTop="1" x14ac:dyDescent="0.25">
      <c r="B28" s="256"/>
      <c r="C28" s="244" t="s">
        <v>250</v>
      </c>
      <c r="D28" s="186"/>
      <c r="E28" s="186"/>
      <c r="F28" s="224">
        <f t="shared" ref="F28" si="20">COUNT(D28:D33)</f>
        <v>0</v>
      </c>
      <c r="G28" s="239">
        <f t="shared" ref="G28" si="21">SUMPRODUCT(D28:D33,E28:E33)</f>
        <v>0</v>
      </c>
      <c r="H28" s="232"/>
      <c r="I28" s="186"/>
      <c r="J28" s="186"/>
      <c r="K28" s="229">
        <f t="shared" ref="K28" si="22">COUNT(I28:I33)</f>
        <v>0</v>
      </c>
      <c r="L28" s="216">
        <f t="shared" ref="L28" si="23">SUMPRODUCT(I28:I33,J28:J33)</f>
        <v>0</v>
      </c>
      <c r="M28" s="232"/>
      <c r="N28" s="186"/>
      <c r="O28" s="186"/>
      <c r="P28" s="229">
        <f t="shared" ref="P28" si="24">COUNT(N28:N33)</f>
        <v>0</v>
      </c>
      <c r="Q28" s="216">
        <f t="shared" ref="Q28" si="25">SUMPRODUCT(N28:N33,O28:O33)</f>
        <v>0</v>
      </c>
      <c r="R28" s="232"/>
      <c r="S28" s="186"/>
      <c r="T28" s="186"/>
      <c r="U28" s="229">
        <f t="shared" ref="U28" si="26">COUNT(S28:S33)</f>
        <v>0</v>
      </c>
      <c r="V28" s="216">
        <f t="shared" ref="V28" si="27">SUMPRODUCT(S28:S33,T28:T33)</f>
        <v>0</v>
      </c>
    </row>
    <row r="29" spans="2:22" ht="15.75" x14ac:dyDescent="0.25">
      <c r="B29" s="256"/>
      <c r="C29" s="235"/>
      <c r="D29" s="70"/>
      <c r="E29" s="70"/>
      <c r="F29" s="222"/>
      <c r="G29" s="240"/>
      <c r="H29" s="233"/>
      <c r="I29" s="70"/>
      <c r="J29" s="70"/>
      <c r="K29" s="230"/>
      <c r="L29" s="217"/>
      <c r="M29" s="233"/>
      <c r="N29" s="70"/>
      <c r="O29" s="70"/>
      <c r="P29" s="230"/>
      <c r="Q29" s="217"/>
      <c r="R29" s="233"/>
      <c r="S29" s="70"/>
      <c r="T29" s="70"/>
      <c r="U29" s="230"/>
      <c r="V29" s="217"/>
    </row>
    <row r="30" spans="2:22" ht="15.75" x14ac:dyDescent="0.25">
      <c r="B30" s="256"/>
      <c r="C30" s="235"/>
      <c r="D30" s="70"/>
      <c r="E30" s="70"/>
      <c r="F30" s="222"/>
      <c r="G30" s="240"/>
      <c r="H30" s="233"/>
      <c r="I30" s="70"/>
      <c r="J30" s="70"/>
      <c r="K30" s="230"/>
      <c r="L30" s="217"/>
      <c r="M30" s="233"/>
      <c r="N30" s="70"/>
      <c r="O30" s="70"/>
      <c r="P30" s="230"/>
      <c r="Q30" s="217"/>
      <c r="R30" s="233"/>
      <c r="S30" s="70"/>
      <c r="T30" s="70"/>
      <c r="U30" s="230"/>
      <c r="V30" s="217"/>
    </row>
    <row r="31" spans="2:22" ht="15.75" x14ac:dyDescent="0.25">
      <c r="B31" s="256"/>
      <c r="C31" s="235"/>
      <c r="D31" s="70"/>
      <c r="E31" s="70"/>
      <c r="F31" s="222"/>
      <c r="G31" s="240"/>
      <c r="H31" s="233"/>
      <c r="I31" s="70"/>
      <c r="J31" s="70"/>
      <c r="K31" s="230"/>
      <c r="L31" s="217"/>
      <c r="M31" s="233"/>
      <c r="N31" s="70"/>
      <c r="O31" s="70"/>
      <c r="P31" s="230"/>
      <c r="Q31" s="217"/>
      <c r="R31" s="233"/>
      <c r="S31" s="70"/>
      <c r="T31" s="70"/>
      <c r="U31" s="230"/>
      <c r="V31" s="217"/>
    </row>
    <row r="32" spans="2:22" ht="15.75" x14ac:dyDescent="0.25">
      <c r="B32" s="256"/>
      <c r="C32" s="235"/>
      <c r="D32" s="70"/>
      <c r="E32" s="70"/>
      <c r="F32" s="222"/>
      <c r="G32" s="240"/>
      <c r="H32" s="233"/>
      <c r="I32" s="70"/>
      <c r="J32" s="70"/>
      <c r="K32" s="230"/>
      <c r="L32" s="217"/>
      <c r="M32" s="233"/>
      <c r="N32" s="70"/>
      <c r="O32" s="70"/>
      <c r="P32" s="230"/>
      <c r="Q32" s="217"/>
      <c r="R32" s="233"/>
      <c r="S32" s="70"/>
      <c r="T32" s="70"/>
      <c r="U32" s="230"/>
      <c r="V32" s="217"/>
    </row>
    <row r="33" spans="2:22" ht="16.5" thickBot="1" x14ac:dyDescent="0.3">
      <c r="B33" s="256"/>
      <c r="C33" s="245"/>
      <c r="D33" s="185"/>
      <c r="E33" s="185"/>
      <c r="F33" s="223"/>
      <c r="G33" s="241"/>
      <c r="H33" s="234"/>
      <c r="I33" s="185"/>
      <c r="J33" s="185"/>
      <c r="K33" s="231"/>
      <c r="L33" s="218"/>
      <c r="M33" s="234"/>
      <c r="N33" s="185"/>
      <c r="O33" s="185"/>
      <c r="P33" s="231"/>
      <c r="Q33" s="218"/>
      <c r="R33" s="234"/>
      <c r="S33" s="185"/>
      <c r="T33" s="185"/>
      <c r="U33" s="231"/>
      <c r="V33" s="218"/>
    </row>
    <row r="34" spans="2:22" ht="16.5" thickTop="1" x14ac:dyDescent="0.25">
      <c r="B34" s="256"/>
      <c r="C34" s="227"/>
      <c r="D34" s="70"/>
      <c r="E34" s="70"/>
      <c r="F34" s="222">
        <f t="shared" ref="F34" si="28">COUNT(D34:D39)</f>
        <v>0</v>
      </c>
      <c r="G34" s="240">
        <f>SUMPRODUCT(D34:D39,E34:E39)</f>
        <v>0</v>
      </c>
      <c r="H34" s="235"/>
      <c r="I34" s="70"/>
      <c r="J34" s="70"/>
      <c r="K34" s="265">
        <f t="shared" ref="K34" si="29">COUNT(I34:I39)</f>
        <v>0</v>
      </c>
      <c r="L34" s="219">
        <f t="shared" ref="L34" si="30">SUMPRODUCT(I34:I39,J34:J39)</f>
        <v>0</v>
      </c>
      <c r="M34" s="235"/>
      <c r="N34" s="70"/>
      <c r="O34" s="70"/>
      <c r="P34" s="222">
        <f t="shared" ref="P34" si="31">COUNT(N34:N39)</f>
        <v>0</v>
      </c>
      <c r="Q34" s="219">
        <f t="shared" ref="Q34" si="32">SUMPRODUCT(N34:N39,O34:O39)</f>
        <v>0</v>
      </c>
      <c r="R34" s="227"/>
      <c r="S34" s="70"/>
      <c r="T34" s="70"/>
      <c r="U34" s="222">
        <f t="shared" ref="U34" si="33">COUNT(S34:S39)</f>
        <v>0</v>
      </c>
      <c r="V34" s="219">
        <f t="shared" ref="V34" si="34">SUMPRODUCT(S34:S39,T34:T39)</f>
        <v>0</v>
      </c>
    </row>
    <row r="35" spans="2:22" ht="15.75" x14ac:dyDescent="0.25">
      <c r="B35" s="256"/>
      <c r="C35" s="227"/>
      <c r="D35" s="70"/>
      <c r="E35" s="70"/>
      <c r="F35" s="222"/>
      <c r="G35" s="240"/>
      <c r="H35" s="235"/>
      <c r="I35" s="70"/>
      <c r="J35" s="70"/>
      <c r="K35" s="230"/>
      <c r="L35" s="219"/>
      <c r="M35" s="235"/>
      <c r="N35" s="70"/>
      <c r="O35" s="70"/>
      <c r="P35" s="222"/>
      <c r="Q35" s="219"/>
      <c r="R35" s="227"/>
      <c r="S35" s="70"/>
      <c r="T35" s="70"/>
      <c r="U35" s="222"/>
      <c r="V35" s="219"/>
    </row>
    <row r="36" spans="2:22" ht="15.75" x14ac:dyDescent="0.25">
      <c r="B36" s="256"/>
      <c r="C36" s="227"/>
      <c r="D36" s="70"/>
      <c r="E36" s="70"/>
      <c r="F36" s="222"/>
      <c r="G36" s="240"/>
      <c r="H36" s="235"/>
      <c r="I36" s="70"/>
      <c r="J36" s="70"/>
      <c r="K36" s="230"/>
      <c r="L36" s="219"/>
      <c r="M36" s="235"/>
      <c r="N36" s="70"/>
      <c r="O36" s="70"/>
      <c r="P36" s="222"/>
      <c r="Q36" s="219"/>
      <c r="R36" s="227"/>
      <c r="S36" s="70"/>
      <c r="T36" s="70"/>
      <c r="U36" s="222"/>
      <c r="V36" s="219"/>
    </row>
    <row r="37" spans="2:22" ht="15.75" x14ac:dyDescent="0.25">
      <c r="B37" s="256"/>
      <c r="C37" s="227"/>
      <c r="D37" s="70"/>
      <c r="E37" s="70"/>
      <c r="F37" s="222"/>
      <c r="G37" s="240"/>
      <c r="H37" s="235"/>
      <c r="I37" s="70"/>
      <c r="J37" s="70"/>
      <c r="K37" s="230"/>
      <c r="L37" s="219"/>
      <c r="M37" s="235"/>
      <c r="N37" s="70"/>
      <c r="O37" s="70"/>
      <c r="P37" s="222"/>
      <c r="Q37" s="219"/>
      <c r="R37" s="227"/>
      <c r="S37" s="70"/>
      <c r="T37" s="70"/>
      <c r="U37" s="222"/>
      <c r="V37" s="219"/>
    </row>
    <row r="38" spans="2:22" ht="15.75" x14ac:dyDescent="0.25">
      <c r="B38" s="256"/>
      <c r="C38" s="227"/>
      <c r="D38" s="70"/>
      <c r="E38" s="70"/>
      <c r="F38" s="222"/>
      <c r="G38" s="240"/>
      <c r="H38" s="235"/>
      <c r="I38" s="70"/>
      <c r="J38" s="70"/>
      <c r="K38" s="230"/>
      <c r="L38" s="219"/>
      <c r="M38" s="235"/>
      <c r="N38" s="70"/>
      <c r="O38" s="70"/>
      <c r="P38" s="222"/>
      <c r="Q38" s="219"/>
      <c r="R38" s="227"/>
      <c r="S38" s="70"/>
      <c r="T38" s="70"/>
      <c r="U38" s="222"/>
      <c r="V38" s="219"/>
    </row>
    <row r="39" spans="2:22" ht="16.5" thickBot="1" x14ac:dyDescent="0.3">
      <c r="B39" s="257"/>
      <c r="C39" s="228"/>
      <c r="D39" s="71"/>
      <c r="E39" s="71"/>
      <c r="F39" s="236"/>
      <c r="G39" s="242"/>
      <c r="H39" s="252"/>
      <c r="I39" s="72"/>
      <c r="J39" s="72"/>
      <c r="K39" s="230"/>
      <c r="L39" s="243"/>
      <c r="M39" s="238"/>
      <c r="N39" s="71"/>
      <c r="O39" s="71"/>
      <c r="P39" s="236"/>
      <c r="Q39" s="220"/>
      <c r="R39" s="228"/>
      <c r="S39" s="71"/>
      <c r="T39" s="71"/>
      <c r="U39" s="236"/>
      <c r="V39" s="220"/>
    </row>
    <row r="40" spans="2:22" ht="15.75" x14ac:dyDescent="0.25">
      <c r="B40" s="254" t="s">
        <v>164</v>
      </c>
      <c r="C40" s="247" t="s">
        <v>262</v>
      </c>
      <c r="D40" s="73">
        <v>20</v>
      </c>
      <c r="E40" s="73">
        <v>6</v>
      </c>
      <c r="F40" s="221">
        <f>COUNT(D40:D45)</f>
        <v>4</v>
      </c>
      <c r="G40" s="248">
        <f t="shared" ref="G40" si="35">SUMPRODUCT(D40:D45,E40:E45)</f>
        <v>360</v>
      </c>
      <c r="H40" s="253"/>
      <c r="I40" s="73"/>
      <c r="J40" s="73"/>
      <c r="K40" s="266">
        <f t="shared" ref="K40" si="36">COUNT(I40:I45)</f>
        <v>0</v>
      </c>
      <c r="L40" s="225">
        <f t="shared" ref="L40" si="37">SUMPRODUCT(I40:I45,J40:J45)</f>
        <v>0</v>
      </c>
      <c r="M40" s="246"/>
      <c r="N40" s="73"/>
      <c r="O40" s="73"/>
      <c r="P40" s="221">
        <f t="shared" ref="P40" si="38">COUNT(N40:N45)</f>
        <v>0</v>
      </c>
      <c r="Q40" s="225">
        <f t="shared" ref="Q40" si="39">SUMPRODUCT(N40:N45,O40:O45)</f>
        <v>0</v>
      </c>
      <c r="R40" s="247"/>
      <c r="S40" s="73"/>
      <c r="T40" s="73"/>
      <c r="U40" s="221">
        <f t="shared" ref="U40" si="40">COUNT(S40:S45)</f>
        <v>0</v>
      </c>
      <c r="V40" s="225">
        <f t="shared" ref="V40" si="41">SUMPRODUCT(S40:S45,T40:T45)</f>
        <v>0</v>
      </c>
    </row>
    <row r="41" spans="2:22" ht="15.75" x14ac:dyDescent="0.25">
      <c r="B41" s="255"/>
      <c r="C41" s="250"/>
      <c r="D41" s="181">
        <v>20</v>
      </c>
      <c r="E41" s="181">
        <v>4</v>
      </c>
      <c r="F41" s="237"/>
      <c r="G41" s="251"/>
      <c r="H41" s="233"/>
      <c r="I41" s="181"/>
      <c r="J41" s="181"/>
      <c r="K41" s="230"/>
      <c r="L41" s="226"/>
      <c r="M41" s="249"/>
      <c r="N41" s="181"/>
      <c r="O41" s="181"/>
      <c r="P41" s="237"/>
      <c r="Q41" s="226"/>
      <c r="R41" s="250"/>
      <c r="S41" s="181"/>
      <c r="T41" s="181"/>
      <c r="U41" s="237"/>
      <c r="V41" s="226"/>
    </row>
    <row r="42" spans="2:22" ht="15.75" x14ac:dyDescent="0.25">
      <c r="B42" s="256"/>
      <c r="C42" s="227"/>
      <c r="D42" s="70">
        <v>20</v>
      </c>
      <c r="E42" s="70">
        <v>4</v>
      </c>
      <c r="F42" s="222"/>
      <c r="G42" s="240"/>
      <c r="H42" s="233"/>
      <c r="I42" s="70"/>
      <c r="J42" s="70"/>
      <c r="K42" s="230"/>
      <c r="L42" s="219"/>
      <c r="M42" s="235"/>
      <c r="N42" s="70"/>
      <c r="O42" s="70"/>
      <c r="P42" s="222"/>
      <c r="Q42" s="219"/>
      <c r="R42" s="227"/>
      <c r="S42" s="70"/>
      <c r="T42" s="70"/>
      <c r="U42" s="222"/>
      <c r="V42" s="219"/>
    </row>
    <row r="43" spans="2:22" ht="15.75" x14ac:dyDescent="0.25">
      <c r="B43" s="256"/>
      <c r="C43" s="227"/>
      <c r="D43" s="70">
        <v>20</v>
      </c>
      <c r="E43" s="70">
        <v>4</v>
      </c>
      <c r="F43" s="222"/>
      <c r="G43" s="240"/>
      <c r="H43" s="233"/>
      <c r="I43" s="70"/>
      <c r="J43" s="70"/>
      <c r="K43" s="230"/>
      <c r="L43" s="219"/>
      <c r="M43" s="235"/>
      <c r="N43" s="70"/>
      <c r="O43" s="70"/>
      <c r="P43" s="222"/>
      <c r="Q43" s="219"/>
      <c r="R43" s="227"/>
      <c r="S43" s="70"/>
      <c r="T43" s="70"/>
      <c r="U43" s="222"/>
      <c r="V43" s="219"/>
    </row>
    <row r="44" spans="2:22" ht="15.75" x14ac:dyDescent="0.25">
      <c r="B44" s="256"/>
      <c r="C44" s="227"/>
      <c r="D44" s="70"/>
      <c r="E44" s="70"/>
      <c r="F44" s="222"/>
      <c r="G44" s="240"/>
      <c r="H44" s="233"/>
      <c r="I44" s="70"/>
      <c r="J44" s="70"/>
      <c r="K44" s="230"/>
      <c r="L44" s="219"/>
      <c r="M44" s="235"/>
      <c r="N44" s="70"/>
      <c r="O44" s="70"/>
      <c r="P44" s="222"/>
      <c r="Q44" s="219"/>
      <c r="R44" s="227"/>
      <c r="S44" s="70"/>
      <c r="T44" s="70"/>
      <c r="U44" s="222"/>
      <c r="V44" s="219"/>
    </row>
    <row r="45" spans="2:22" ht="16.5" thickBot="1" x14ac:dyDescent="0.3">
      <c r="B45" s="256"/>
      <c r="C45" s="227"/>
      <c r="D45" s="70"/>
      <c r="E45" s="70"/>
      <c r="F45" s="222"/>
      <c r="G45" s="240"/>
      <c r="H45" s="249"/>
      <c r="I45" s="70"/>
      <c r="J45" s="70"/>
      <c r="K45" s="237"/>
      <c r="L45" s="219"/>
      <c r="M45" s="235"/>
      <c r="N45" s="70"/>
      <c r="O45" s="70"/>
      <c r="P45" s="222"/>
      <c r="Q45" s="219"/>
      <c r="R45" s="227"/>
      <c r="S45" s="70"/>
      <c r="T45" s="70"/>
      <c r="U45" s="222"/>
      <c r="V45" s="219"/>
    </row>
    <row r="46" spans="2:22" ht="16.5" thickTop="1" x14ac:dyDescent="0.25">
      <c r="B46" s="256"/>
      <c r="C46" s="244" t="s">
        <v>217</v>
      </c>
      <c r="D46" s="186">
        <v>20</v>
      </c>
      <c r="E46" s="186">
        <v>15</v>
      </c>
      <c r="F46" s="224">
        <f>COUNT(D46:D51)</f>
        <v>3</v>
      </c>
      <c r="G46" s="239">
        <f t="shared" ref="G46" si="42">SUMPRODUCT(D46:D51,E46:E51)</f>
        <v>780</v>
      </c>
      <c r="H46" s="232"/>
      <c r="I46" s="186"/>
      <c r="J46" s="186"/>
      <c r="K46" s="229">
        <f>COUNT(I46:I51)</f>
        <v>0</v>
      </c>
      <c r="L46" s="216">
        <f t="shared" ref="L46" si="43">SUMPRODUCT(I46:I51,J46:J51)</f>
        <v>0</v>
      </c>
      <c r="M46" s="232"/>
      <c r="N46" s="186"/>
      <c r="O46" s="186"/>
      <c r="P46" s="229">
        <f t="shared" ref="P46" si="44">COUNT(N46:N51)</f>
        <v>0</v>
      </c>
      <c r="Q46" s="216">
        <f t="shared" ref="Q46" si="45">SUMPRODUCT(N46:N51,O46:O51)</f>
        <v>0</v>
      </c>
      <c r="R46" s="232"/>
      <c r="S46" s="186"/>
      <c r="T46" s="186"/>
      <c r="U46" s="229">
        <f t="shared" ref="U46" si="46">COUNT(S46:S51)</f>
        <v>0</v>
      </c>
      <c r="V46" s="216">
        <f t="shared" ref="V46" si="47">SUMPRODUCT(S46:S51,T46:T51)</f>
        <v>0</v>
      </c>
    </row>
    <row r="47" spans="2:22" ht="15.75" x14ac:dyDescent="0.25">
      <c r="B47" s="256"/>
      <c r="C47" s="235"/>
      <c r="D47" s="70">
        <v>20</v>
      </c>
      <c r="E47" s="70">
        <v>12</v>
      </c>
      <c r="F47" s="222"/>
      <c r="G47" s="240"/>
      <c r="H47" s="233"/>
      <c r="I47" s="70"/>
      <c r="J47" s="70"/>
      <c r="K47" s="230"/>
      <c r="L47" s="217"/>
      <c r="M47" s="233"/>
      <c r="N47" s="70"/>
      <c r="O47" s="70"/>
      <c r="P47" s="230"/>
      <c r="Q47" s="217"/>
      <c r="R47" s="233"/>
      <c r="S47" s="70"/>
      <c r="T47" s="70"/>
      <c r="U47" s="230"/>
      <c r="V47" s="217"/>
    </row>
    <row r="48" spans="2:22" ht="15.75" x14ac:dyDescent="0.25">
      <c r="B48" s="256"/>
      <c r="C48" s="235"/>
      <c r="D48" s="70">
        <v>20</v>
      </c>
      <c r="E48" s="70">
        <v>12</v>
      </c>
      <c r="F48" s="222"/>
      <c r="G48" s="240"/>
      <c r="H48" s="233"/>
      <c r="I48" s="70"/>
      <c r="J48" s="70"/>
      <c r="K48" s="230"/>
      <c r="L48" s="217"/>
      <c r="M48" s="233"/>
      <c r="N48" s="70"/>
      <c r="O48" s="70"/>
      <c r="P48" s="230"/>
      <c r="Q48" s="217"/>
      <c r="R48" s="233"/>
      <c r="S48" s="70"/>
      <c r="T48" s="70"/>
      <c r="U48" s="230"/>
      <c r="V48" s="217"/>
    </row>
    <row r="49" spans="2:22" ht="15.75" x14ac:dyDescent="0.25">
      <c r="B49" s="256"/>
      <c r="C49" s="235"/>
      <c r="D49" s="70"/>
      <c r="E49" s="70"/>
      <c r="F49" s="222"/>
      <c r="G49" s="240"/>
      <c r="H49" s="233"/>
      <c r="I49" s="70"/>
      <c r="J49" s="70"/>
      <c r="K49" s="230"/>
      <c r="L49" s="217"/>
      <c r="M49" s="233"/>
      <c r="N49" s="70"/>
      <c r="O49" s="70"/>
      <c r="P49" s="230"/>
      <c r="Q49" s="217"/>
      <c r="R49" s="233"/>
      <c r="S49" s="70"/>
      <c r="T49" s="70"/>
      <c r="U49" s="230"/>
      <c r="V49" s="217"/>
    </row>
    <row r="50" spans="2:22" ht="15.75" x14ac:dyDescent="0.25">
      <c r="B50" s="256"/>
      <c r="C50" s="235"/>
      <c r="D50" s="70"/>
      <c r="E50" s="70"/>
      <c r="F50" s="222"/>
      <c r="G50" s="240"/>
      <c r="H50" s="233"/>
      <c r="I50" s="70"/>
      <c r="J50" s="70"/>
      <c r="K50" s="230"/>
      <c r="L50" s="217"/>
      <c r="M50" s="233"/>
      <c r="N50" s="70"/>
      <c r="O50" s="70"/>
      <c r="P50" s="230"/>
      <c r="Q50" s="217"/>
      <c r="R50" s="233"/>
      <c r="S50" s="70"/>
      <c r="T50" s="70"/>
      <c r="U50" s="230"/>
      <c r="V50" s="217"/>
    </row>
    <row r="51" spans="2:22" ht="16.5" thickBot="1" x14ac:dyDescent="0.3">
      <c r="B51" s="256"/>
      <c r="C51" s="245"/>
      <c r="D51" s="185"/>
      <c r="E51" s="185"/>
      <c r="F51" s="223"/>
      <c r="G51" s="241"/>
      <c r="H51" s="234"/>
      <c r="I51" s="185"/>
      <c r="J51" s="185"/>
      <c r="K51" s="231"/>
      <c r="L51" s="218"/>
      <c r="M51" s="234"/>
      <c r="N51" s="185"/>
      <c r="O51" s="185"/>
      <c r="P51" s="231"/>
      <c r="Q51" s="218"/>
      <c r="R51" s="234"/>
      <c r="S51" s="185"/>
      <c r="T51" s="185"/>
      <c r="U51" s="231"/>
      <c r="V51" s="218"/>
    </row>
    <row r="52" spans="2:22" ht="16.5" thickTop="1" x14ac:dyDescent="0.25">
      <c r="B52" s="256"/>
      <c r="C52" s="244" t="s">
        <v>245</v>
      </c>
      <c r="D52" s="186"/>
      <c r="E52" s="186">
        <v>15</v>
      </c>
      <c r="F52" s="224">
        <f t="shared" ref="F52" si="48">COUNT(D52:D57)</f>
        <v>0</v>
      </c>
      <c r="G52" s="239">
        <f t="shared" ref="G52" si="49">SUMPRODUCT(D52:D57,E52:E57)</f>
        <v>0</v>
      </c>
      <c r="H52" s="232"/>
      <c r="I52" s="186"/>
      <c r="J52" s="186"/>
      <c r="K52" s="229">
        <f t="shared" ref="K52" si="50">COUNT(I52:I57)</f>
        <v>0</v>
      </c>
      <c r="L52" s="216">
        <f t="shared" ref="L52" si="51">SUMPRODUCT(I52:I57,J52:J57)</f>
        <v>0</v>
      </c>
      <c r="M52" s="232"/>
      <c r="N52" s="186"/>
      <c r="O52" s="186"/>
      <c r="P52" s="229">
        <f t="shared" ref="P52" si="52">COUNT(N52:N57)</f>
        <v>0</v>
      </c>
      <c r="Q52" s="216">
        <f t="shared" ref="Q52" si="53">SUMPRODUCT(N52:N57,O52:O57)</f>
        <v>0</v>
      </c>
      <c r="R52" s="232"/>
      <c r="S52" s="186"/>
      <c r="T52" s="186"/>
      <c r="U52" s="229">
        <f t="shared" ref="U52" si="54">COUNT(S52:S57)</f>
        <v>0</v>
      </c>
      <c r="V52" s="216">
        <f t="shared" ref="V52" si="55">SUMPRODUCT(S52:S57,T52:T57)</f>
        <v>0</v>
      </c>
    </row>
    <row r="53" spans="2:22" ht="15.75" x14ac:dyDescent="0.25">
      <c r="B53" s="256"/>
      <c r="C53" s="235"/>
      <c r="D53" s="70"/>
      <c r="E53" s="70">
        <v>12</v>
      </c>
      <c r="F53" s="222"/>
      <c r="G53" s="240"/>
      <c r="H53" s="233"/>
      <c r="I53" s="70"/>
      <c r="J53" s="70"/>
      <c r="K53" s="230"/>
      <c r="L53" s="217"/>
      <c r="M53" s="233"/>
      <c r="N53" s="70"/>
      <c r="O53" s="70"/>
      <c r="P53" s="230"/>
      <c r="Q53" s="217"/>
      <c r="R53" s="233"/>
      <c r="S53" s="70"/>
      <c r="T53" s="70"/>
      <c r="U53" s="230"/>
      <c r="V53" s="217"/>
    </row>
    <row r="54" spans="2:22" ht="15.75" x14ac:dyDescent="0.25">
      <c r="B54" s="256"/>
      <c r="C54" s="235"/>
      <c r="D54" s="70"/>
      <c r="E54" s="70">
        <v>12</v>
      </c>
      <c r="F54" s="222"/>
      <c r="G54" s="240"/>
      <c r="H54" s="233"/>
      <c r="I54" s="70"/>
      <c r="J54" s="70"/>
      <c r="K54" s="230"/>
      <c r="L54" s="217"/>
      <c r="M54" s="233"/>
      <c r="N54" s="70"/>
      <c r="O54" s="70"/>
      <c r="P54" s="230"/>
      <c r="Q54" s="217"/>
      <c r="R54" s="233"/>
      <c r="S54" s="70"/>
      <c r="T54" s="70"/>
      <c r="U54" s="230"/>
      <c r="V54" s="217"/>
    </row>
    <row r="55" spans="2:22" ht="15.75" x14ac:dyDescent="0.25">
      <c r="B55" s="256"/>
      <c r="C55" s="235"/>
      <c r="D55" s="70"/>
      <c r="E55" s="70"/>
      <c r="F55" s="222"/>
      <c r="G55" s="240"/>
      <c r="H55" s="233"/>
      <c r="I55" s="70"/>
      <c r="J55" s="70"/>
      <c r="K55" s="230"/>
      <c r="L55" s="217"/>
      <c r="M55" s="233"/>
      <c r="N55" s="70"/>
      <c r="O55" s="70"/>
      <c r="P55" s="230"/>
      <c r="Q55" s="217"/>
      <c r="R55" s="233"/>
      <c r="S55" s="70"/>
      <c r="T55" s="70"/>
      <c r="U55" s="230"/>
      <c r="V55" s="217"/>
    </row>
    <row r="56" spans="2:22" ht="15.75" x14ac:dyDescent="0.25">
      <c r="B56" s="256"/>
      <c r="C56" s="235"/>
      <c r="D56" s="70"/>
      <c r="E56" s="70"/>
      <c r="F56" s="222"/>
      <c r="G56" s="240"/>
      <c r="H56" s="233"/>
      <c r="I56" s="70"/>
      <c r="J56" s="70"/>
      <c r="K56" s="230"/>
      <c r="L56" s="217"/>
      <c r="M56" s="233"/>
      <c r="N56" s="70"/>
      <c r="O56" s="70"/>
      <c r="P56" s="230"/>
      <c r="Q56" s="217"/>
      <c r="R56" s="233"/>
      <c r="S56" s="70"/>
      <c r="T56" s="70"/>
      <c r="U56" s="230"/>
      <c r="V56" s="217"/>
    </row>
    <row r="57" spans="2:22" ht="16.5" thickBot="1" x14ac:dyDescent="0.3">
      <c r="B57" s="256"/>
      <c r="C57" s="245"/>
      <c r="D57" s="185"/>
      <c r="E57" s="185"/>
      <c r="F57" s="223"/>
      <c r="G57" s="241"/>
      <c r="H57" s="234"/>
      <c r="I57" s="185"/>
      <c r="J57" s="185"/>
      <c r="K57" s="231"/>
      <c r="L57" s="218"/>
      <c r="M57" s="234"/>
      <c r="N57" s="185"/>
      <c r="O57" s="185"/>
      <c r="P57" s="231"/>
      <c r="Q57" s="218"/>
      <c r="R57" s="234"/>
      <c r="S57" s="185"/>
      <c r="T57" s="185"/>
      <c r="U57" s="231"/>
      <c r="V57" s="218"/>
    </row>
    <row r="58" spans="2:22" ht="16.5" thickTop="1" x14ac:dyDescent="0.25">
      <c r="B58" s="256"/>
      <c r="C58" s="244" t="s">
        <v>234</v>
      </c>
      <c r="D58" s="186"/>
      <c r="E58" s="186">
        <v>15</v>
      </c>
      <c r="F58" s="224">
        <f t="shared" ref="F58" si="56">COUNT(D58:D63)</f>
        <v>0</v>
      </c>
      <c r="G58" s="239">
        <f t="shared" ref="G58" si="57">SUMPRODUCT(D58:D63,E58:E63)</f>
        <v>0</v>
      </c>
      <c r="H58" s="232"/>
      <c r="I58" s="186"/>
      <c r="J58" s="186"/>
      <c r="K58" s="229">
        <f t="shared" ref="K58" si="58">COUNT(I58:I63)</f>
        <v>0</v>
      </c>
      <c r="L58" s="216">
        <f t="shared" ref="L58" si="59">SUMPRODUCT(I58:I63,J58:J63)</f>
        <v>0</v>
      </c>
      <c r="M58" s="232"/>
      <c r="N58" s="186"/>
      <c r="O58" s="186"/>
      <c r="P58" s="229">
        <f t="shared" ref="P58" si="60">COUNT(N58:N63)</f>
        <v>0</v>
      </c>
      <c r="Q58" s="216">
        <f t="shared" ref="Q58" si="61">SUMPRODUCT(N58:N63,O58:O63)</f>
        <v>0</v>
      </c>
      <c r="R58" s="232"/>
      <c r="S58" s="186"/>
      <c r="T58" s="186"/>
      <c r="U58" s="229">
        <f t="shared" ref="U58" si="62">COUNT(S58:S63)</f>
        <v>0</v>
      </c>
      <c r="V58" s="216">
        <f t="shared" ref="V58" si="63">SUMPRODUCT(S58:S63,T58:T63)</f>
        <v>0</v>
      </c>
    </row>
    <row r="59" spans="2:22" ht="15.75" x14ac:dyDescent="0.25">
      <c r="B59" s="256"/>
      <c r="C59" s="235"/>
      <c r="D59" s="70"/>
      <c r="E59" s="70">
        <v>12</v>
      </c>
      <c r="F59" s="222"/>
      <c r="G59" s="240"/>
      <c r="H59" s="233"/>
      <c r="I59" s="70"/>
      <c r="J59" s="70"/>
      <c r="K59" s="230"/>
      <c r="L59" s="217"/>
      <c r="M59" s="233"/>
      <c r="N59" s="70"/>
      <c r="O59" s="70"/>
      <c r="P59" s="230"/>
      <c r="Q59" s="217"/>
      <c r="R59" s="233"/>
      <c r="S59" s="70"/>
      <c r="T59" s="70"/>
      <c r="U59" s="230"/>
      <c r="V59" s="217"/>
    </row>
    <row r="60" spans="2:22" ht="15.75" x14ac:dyDescent="0.25">
      <c r="B60" s="256"/>
      <c r="C60" s="235"/>
      <c r="D60" s="70"/>
      <c r="E60" s="70">
        <v>12</v>
      </c>
      <c r="F60" s="222"/>
      <c r="G60" s="240"/>
      <c r="H60" s="233"/>
      <c r="I60" s="70"/>
      <c r="J60" s="70"/>
      <c r="K60" s="230"/>
      <c r="L60" s="217"/>
      <c r="M60" s="233"/>
      <c r="N60" s="70"/>
      <c r="O60" s="70"/>
      <c r="P60" s="230"/>
      <c r="Q60" s="217"/>
      <c r="R60" s="233"/>
      <c r="S60" s="70"/>
      <c r="T60" s="70"/>
      <c r="U60" s="230"/>
      <c r="V60" s="217"/>
    </row>
    <row r="61" spans="2:22" ht="15.75" x14ac:dyDescent="0.25">
      <c r="B61" s="256"/>
      <c r="C61" s="235"/>
      <c r="D61" s="70"/>
      <c r="E61" s="70"/>
      <c r="F61" s="222"/>
      <c r="G61" s="240"/>
      <c r="H61" s="233"/>
      <c r="I61" s="70"/>
      <c r="J61" s="70"/>
      <c r="K61" s="230"/>
      <c r="L61" s="217"/>
      <c r="M61" s="233"/>
      <c r="N61" s="70"/>
      <c r="O61" s="70"/>
      <c r="P61" s="230"/>
      <c r="Q61" s="217"/>
      <c r="R61" s="233"/>
      <c r="S61" s="70"/>
      <c r="T61" s="70"/>
      <c r="U61" s="230"/>
      <c r="V61" s="217"/>
    </row>
    <row r="62" spans="2:22" ht="15.75" x14ac:dyDescent="0.25">
      <c r="B62" s="256"/>
      <c r="C62" s="235"/>
      <c r="D62" s="70"/>
      <c r="E62" s="70"/>
      <c r="F62" s="222"/>
      <c r="G62" s="240"/>
      <c r="H62" s="233"/>
      <c r="I62" s="70"/>
      <c r="J62" s="70"/>
      <c r="K62" s="230"/>
      <c r="L62" s="217"/>
      <c r="M62" s="233"/>
      <c r="N62" s="70"/>
      <c r="O62" s="70"/>
      <c r="P62" s="230"/>
      <c r="Q62" s="217"/>
      <c r="R62" s="233"/>
      <c r="S62" s="70"/>
      <c r="T62" s="70"/>
      <c r="U62" s="230"/>
      <c r="V62" s="217"/>
    </row>
    <row r="63" spans="2:22" ht="16.5" thickBot="1" x14ac:dyDescent="0.3">
      <c r="B63" s="256"/>
      <c r="C63" s="245"/>
      <c r="D63" s="185"/>
      <c r="E63" s="185"/>
      <c r="F63" s="223"/>
      <c r="G63" s="241"/>
      <c r="H63" s="234"/>
      <c r="I63" s="185"/>
      <c r="J63" s="185"/>
      <c r="K63" s="231"/>
      <c r="L63" s="218"/>
      <c r="M63" s="234"/>
      <c r="N63" s="185"/>
      <c r="O63" s="185"/>
      <c r="P63" s="231"/>
      <c r="Q63" s="218"/>
      <c r="R63" s="234"/>
      <c r="S63" s="185"/>
      <c r="T63" s="185"/>
      <c r="U63" s="231"/>
      <c r="V63" s="218"/>
    </row>
    <row r="64" spans="2:22" ht="16.5" thickTop="1" x14ac:dyDescent="0.25">
      <c r="B64" s="256"/>
      <c r="C64" s="244" t="s">
        <v>247</v>
      </c>
      <c r="D64" s="186"/>
      <c r="E64" s="186">
        <v>20</v>
      </c>
      <c r="F64" s="224">
        <f t="shared" ref="F64" si="64">COUNT(D64:D69)</f>
        <v>0</v>
      </c>
      <c r="G64" s="239">
        <f t="shared" ref="G64" si="65">SUMPRODUCT(D64:D69,E64:E69)</f>
        <v>0</v>
      </c>
      <c r="H64" s="232"/>
      <c r="I64" s="186"/>
      <c r="J64" s="186"/>
      <c r="K64" s="229">
        <f t="shared" ref="K64" si="66">COUNT(I64:I69)</f>
        <v>0</v>
      </c>
      <c r="L64" s="216">
        <f t="shared" ref="L64" si="67">SUMPRODUCT(I64:I69,J64:J69)</f>
        <v>0</v>
      </c>
      <c r="M64" s="232"/>
      <c r="N64" s="186"/>
      <c r="O64" s="186"/>
      <c r="P64" s="229">
        <f t="shared" ref="P64" si="68">COUNT(N64:N69)</f>
        <v>0</v>
      </c>
      <c r="Q64" s="216">
        <f t="shared" ref="Q64" si="69">SUMPRODUCT(N64:N69,O64:O69)</f>
        <v>0</v>
      </c>
      <c r="R64" s="232"/>
      <c r="S64" s="186"/>
      <c r="T64" s="186"/>
      <c r="U64" s="229">
        <f t="shared" ref="U64" si="70">COUNT(S64:S69)</f>
        <v>0</v>
      </c>
      <c r="V64" s="216">
        <f t="shared" ref="V64" si="71">SUMPRODUCT(S64:S69,T64:T69)</f>
        <v>0</v>
      </c>
    </row>
    <row r="65" spans="2:22" ht="15.75" x14ac:dyDescent="0.25">
      <c r="B65" s="256"/>
      <c r="C65" s="235"/>
      <c r="D65" s="70"/>
      <c r="E65" s="70">
        <v>20</v>
      </c>
      <c r="F65" s="222"/>
      <c r="G65" s="240"/>
      <c r="H65" s="233"/>
      <c r="I65" s="70"/>
      <c r="J65" s="70"/>
      <c r="K65" s="230"/>
      <c r="L65" s="217"/>
      <c r="M65" s="233"/>
      <c r="N65" s="70"/>
      <c r="O65" s="70"/>
      <c r="P65" s="230"/>
      <c r="Q65" s="217"/>
      <c r="R65" s="233"/>
      <c r="S65" s="70"/>
      <c r="T65" s="70"/>
      <c r="U65" s="230"/>
      <c r="V65" s="217"/>
    </row>
    <row r="66" spans="2:22" ht="15.75" x14ac:dyDescent="0.25">
      <c r="B66" s="256"/>
      <c r="C66" s="235"/>
      <c r="D66" s="70"/>
      <c r="E66" s="70">
        <v>20</v>
      </c>
      <c r="F66" s="222"/>
      <c r="G66" s="240"/>
      <c r="H66" s="233"/>
      <c r="I66" s="70"/>
      <c r="J66" s="70"/>
      <c r="K66" s="230"/>
      <c r="L66" s="217"/>
      <c r="M66" s="233"/>
      <c r="N66" s="70"/>
      <c r="O66" s="70"/>
      <c r="P66" s="230"/>
      <c r="Q66" s="217"/>
      <c r="R66" s="233"/>
      <c r="S66" s="70"/>
      <c r="T66" s="70"/>
      <c r="U66" s="230"/>
      <c r="V66" s="217"/>
    </row>
    <row r="67" spans="2:22" ht="15.75" x14ac:dyDescent="0.25">
      <c r="B67" s="256"/>
      <c r="C67" s="235"/>
      <c r="D67" s="70"/>
      <c r="E67" s="70">
        <v>20</v>
      </c>
      <c r="F67" s="222"/>
      <c r="G67" s="240"/>
      <c r="H67" s="233"/>
      <c r="I67" s="70"/>
      <c r="J67" s="70"/>
      <c r="K67" s="230"/>
      <c r="L67" s="217"/>
      <c r="M67" s="233"/>
      <c r="N67" s="70"/>
      <c r="O67" s="70"/>
      <c r="P67" s="230"/>
      <c r="Q67" s="217"/>
      <c r="R67" s="233"/>
      <c r="S67" s="70"/>
      <c r="T67" s="70"/>
      <c r="U67" s="230"/>
      <c r="V67" s="217"/>
    </row>
    <row r="68" spans="2:22" ht="15.75" x14ac:dyDescent="0.25">
      <c r="B68" s="256"/>
      <c r="C68" s="235"/>
      <c r="D68" s="70"/>
      <c r="E68" s="70"/>
      <c r="F68" s="222"/>
      <c r="G68" s="240"/>
      <c r="H68" s="233"/>
      <c r="I68" s="70"/>
      <c r="J68" s="70"/>
      <c r="K68" s="230"/>
      <c r="L68" s="217"/>
      <c r="M68" s="233"/>
      <c r="N68" s="70"/>
      <c r="O68" s="70"/>
      <c r="P68" s="230"/>
      <c r="Q68" s="217"/>
      <c r="R68" s="233"/>
      <c r="S68" s="70"/>
      <c r="T68" s="70"/>
      <c r="U68" s="230"/>
      <c r="V68" s="217"/>
    </row>
    <row r="69" spans="2:22" ht="16.5" thickBot="1" x14ac:dyDescent="0.3">
      <c r="B69" s="256"/>
      <c r="C69" s="245"/>
      <c r="D69" s="185"/>
      <c r="E69" s="185"/>
      <c r="F69" s="223"/>
      <c r="G69" s="241"/>
      <c r="H69" s="234"/>
      <c r="I69" s="185"/>
      <c r="J69" s="185"/>
      <c r="K69" s="231"/>
      <c r="L69" s="218"/>
      <c r="M69" s="234"/>
      <c r="N69" s="185"/>
      <c r="O69" s="185"/>
      <c r="P69" s="231"/>
      <c r="Q69" s="218"/>
      <c r="R69" s="234"/>
      <c r="S69" s="185"/>
      <c r="T69" s="185"/>
      <c r="U69" s="231"/>
      <c r="V69" s="218"/>
    </row>
    <row r="70" spans="2:22" ht="16.5" thickTop="1" x14ac:dyDescent="0.25">
      <c r="B70" s="256"/>
      <c r="C70" s="227"/>
      <c r="D70" s="70"/>
      <c r="E70" s="70"/>
      <c r="F70" s="222"/>
      <c r="G70" s="240"/>
      <c r="H70" s="235"/>
      <c r="I70" s="70"/>
      <c r="J70" s="70"/>
      <c r="K70" s="265">
        <f t="shared" ref="K70" si="72">COUNT(I70:I75)</f>
        <v>0</v>
      </c>
      <c r="L70" s="219"/>
      <c r="M70" s="235"/>
      <c r="N70" s="70"/>
      <c r="O70" s="70"/>
      <c r="P70" s="222">
        <f t="shared" ref="P70" si="73">COUNT(N70:N75)</f>
        <v>0</v>
      </c>
      <c r="Q70" s="219">
        <f t="shared" ref="Q70" si="74">SUMPRODUCT(N70:N75,O70:O75)</f>
        <v>0</v>
      </c>
      <c r="R70" s="227"/>
      <c r="S70" s="70"/>
      <c r="T70" s="70"/>
      <c r="U70" s="222">
        <f t="shared" ref="U70" si="75">COUNT(S70:S75)</f>
        <v>0</v>
      </c>
      <c r="V70" s="219">
        <f t="shared" ref="V70" si="76">SUMPRODUCT(S70:S75,T70:T75)</f>
        <v>0</v>
      </c>
    </row>
    <row r="71" spans="2:22" ht="15.75" x14ac:dyDescent="0.25">
      <c r="B71" s="256"/>
      <c r="C71" s="227"/>
      <c r="D71" s="70"/>
      <c r="E71" s="70"/>
      <c r="F71" s="222"/>
      <c r="G71" s="240"/>
      <c r="H71" s="235"/>
      <c r="I71" s="70"/>
      <c r="J71" s="70"/>
      <c r="K71" s="230"/>
      <c r="L71" s="219"/>
      <c r="M71" s="235"/>
      <c r="N71" s="70"/>
      <c r="O71" s="70"/>
      <c r="P71" s="222"/>
      <c r="Q71" s="219"/>
      <c r="R71" s="227"/>
      <c r="S71" s="70"/>
      <c r="T71" s="70"/>
      <c r="U71" s="222"/>
      <c r="V71" s="219"/>
    </row>
    <row r="72" spans="2:22" ht="15.75" x14ac:dyDescent="0.25">
      <c r="B72" s="256"/>
      <c r="C72" s="227"/>
      <c r="D72" s="70"/>
      <c r="E72" s="70"/>
      <c r="F72" s="222"/>
      <c r="G72" s="240"/>
      <c r="H72" s="235"/>
      <c r="I72" s="70"/>
      <c r="J72" s="70"/>
      <c r="K72" s="230"/>
      <c r="L72" s="219"/>
      <c r="M72" s="235"/>
      <c r="N72" s="70"/>
      <c r="O72" s="70"/>
      <c r="P72" s="222"/>
      <c r="Q72" s="219"/>
      <c r="R72" s="227"/>
      <c r="S72" s="70"/>
      <c r="T72" s="70"/>
      <c r="U72" s="222"/>
      <c r="V72" s="219"/>
    </row>
    <row r="73" spans="2:22" ht="15.75" x14ac:dyDescent="0.25">
      <c r="B73" s="256"/>
      <c r="C73" s="227"/>
      <c r="D73" s="70"/>
      <c r="E73" s="70"/>
      <c r="F73" s="222"/>
      <c r="G73" s="240"/>
      <c r="H73" s="235"/>
      <c r="I73" s="70"/>
      <c r="J73" s="70"/>
      <c r="K73" s="230"/>
      <c r="L73" s="219"/>
      <c r="M73" s="235"/>
      <c r="N73" s="70"/>
      <c r="O73" s="70"/>
      <c r="P73" s="222"/>
      <c r="Q73" s="219"/>
      <c r="R73" s="227"/>
      <c r="S73" s="70"/>
      <c r="T73" s="70"/>
      <c r="U73" s="222"/>
      <c r="V73" s="219"/>
    </row>
    <row r="74" spans="2:22" ht="15.75" x14ac:dyDescent="0.25">
      <c r="B74" s="256"/>
      <c r="C74" s="227"/>
      <c r="D74" s="70"/>
      <c r="E74" s="70"/>
      <c r="F74" s="222"/>
      <c r="G74" s="240"/>
      <c r="H74" s="235"/>
      <c r="I74" s="70"/>
      <c r="J74" s="70"/>
      <c r="K74" s="230"/>
      <c r="L74" s="219"/>
      <c r="M74" s="235"/>
      <c r="N74" s="70"/>
      <c r="O74" s="70"/>
      <c r="P74" s="222"/>
      <c r="Q74" s="219"/>
      <c r="R74" s="227"/>
      <c r="S74" s="70"/>
      <c r="T74" s="70"/>
      <c r="U74" s="222"/>
      <c r="V74" s="219"/>
    </row>
    <row r="75" spans="2:22" ht="16.5" thickBot="1" x14ac:dyDescent="0.3">
      <c r="B75" s="257"/>
      <c r="C75" s="228"/>
      <c r="D75" s="71"/>
      <c r="E75" s="71"/>
      <c r="F75" s="236"/>
      <c r="G75" s="242"/>
      <c r="H75" s="238"/>
      <c r="I75" s="71"/>
      <c r="J75" s="71"/>
      <c r="K75" s="267"/>
      <c r="L75" s="220"/>
      <c r="M75" s="238"/>
      <c r="N75" s="71"/>
      <c r="O75" s="71"/>
      <c r="P75" s="236"/>
      <c r="Q75" s="220"/>
      <c r="R75" s="228"/>
      <c r="S75" s="71"/>
      <c r="T75" s="71"/>
      <c r="U75" s="236"/>
      <c r="V75" s="220"/>
    </row>
    <row r="76" spans="2:22" ht="15.75" x14ac:dyDescent="0.25">
      <c r="B76" s="254" t="s">
        <v>165</v>
      </c>
      <c r="C76" s="247" t="s">
        <v>181</v>
      </c>
      <c r="D76" s="73">
        <v>10</v>
      </c>
      <c r="E76" s="73">
        <v>8</v>
      </c>
      <c r="F76" s="221">
        <f>COUNT(D76:D81)</f>
        <v>4</v>
      </c>
      <c r="G76" s="248">
        <f t="shared" ref="G76" si="77">SUMPRODUCT(D76:D81,E76:E81)</f>
        <v>360</v>
      </c>
      <c r="H76" s="249"/>
      <c r="I76" s="181"/>
      <c r="J76" s="181"/>
      <c r="K76" s="230">
        <f t="shared" ref="K76" si="78">COUNT(I76:I81)</f>
        <v>0</v>
      </c>
      <c r="L76" s="226">
        <f t="shared" ref="L76" si="79">SUMPRODUCT(I76:I81,J76:J81)</f>
        <v>0</v>
      </c>
      <c r="M76" s="246"/>
      <c r="N76" s="73"/>
      <c r="O76" s="73"/>
      <c r="P76" s="221">
        <f t="shared" ref="P76" si="80">COUNT(N76:N81)</f>
        <v>0</v>
      </c>
      <c r="Q76" s="225">
        <f t="shared" ref="Q76" si="81">SUMPRODUCT(N76:N81,O76:O81)</f>
        <v>0</v>
      </c>
      <c r="R76" s="247"/>
      <c r="S76" s="73"/>
      <c r="T76" s="73"/>
      <c r="U76" s="221">
        <f t="shared" ref="U76" si="82">COUNT(S76:S81)</f>
        <v>0</v>
      </c>
      <c r="V76" s="225">
        <f t="shared" ref="V76" si="83">SUMPRODUCT(S76:S81,T76:T81)</f>
        <v>0</v>
      </c>
    </row>
    <row r="77" spans="2:22" ht="15.75" x14ac:dyDescent="0.25">
      <c r="B77" s="255"/>
      <c r="C77" s="250"/>
      <c r="D77" s="181">
        <v>20</v>
      </c>
      <c r="E77" s="181">
        <v>6</v>
      </c>
      <c r="F77" s="237"/>
      <c r="G77" s="251"/>
      <c r="H77" s="249"/>
      <c r="I77" s="181"/>
      <c r="J77" s="181"/>
      <c r="K77" s="230"/>
      <c r="L77" s="226"/>
      <c r="M77" s="249"/>
      <c r="N77" s="181"/>
      <c r="O77" s="181"/>
      <c r="P77" s="237"/>
      <c r="Q77" s="226"/>
      <c r="R77" s="250"/>
      <c r="S77" s="181"/>
      <c r="T77" s="181"/>
      <c r="U77" s="237"/>
      <c r="V77" s="226"/>
    </row>
    <row r="78" spans="2:22" ht="15.75" x14ac:dyDescent="0.25">
      <c r="B78" s="256"/>
      <c r="C78" s="227"/>
      <c r="D78" s="70">
        <v>20</v>
      </c>
      <c r="E78" s="70">
        <v>4</v>
      </c>
      <c r="F78" s="222"/>
      <c r="G78" s="240"/>
      <c r="H78" s="235"/>
      <c r="I78" s="70"/>
      <c r="J78" s="70"/>
      <c r="K78" s="230"/>
      <c r="L78" s="219"/>
      <c r="M78" s="235"/>
      <c r="N78" s="70"/>
      <c r="O78" s="70"/>
      <c r="P78" s="222"/>
      <c r="Q78" s="219"/>
      <c r="R78" s="227"/>
      <c r="S78" s="70"/>
      <c r="T78" s="70"/>
      <c r="U78" s="222"/>
      <c r="V78" s="219"/>
    </row>
    <row r="79" spans="2:22" ht="15.75" x14ac:dyDescent="0.25">
      <c r="B79" s="256"/>
      <c r="C79" s="227"/>
      <c r="D79" s="70">
        <v>20</v>
      </c>
      <c r="E79" s="70">
        <v>4</v>
      </c>
      <c r="F79" s="222"/>
      <c r="G79" s="240"/>
      <c r="H79" s="235"/>
      <c r="I79" s="70"/>
      <c r="J79" s="70"/>
      <c r="K79" s="230"/>
      <c r="L79" s="219"/>
      <c r="M79" s="235"/>
      <c r="N79" s="70"/>
      <c r="O79" s="70"/>
      <c r="P79" s="222"/>
      <c r="Q79" s="219"/>
      <c r="R79" s="227"/>
      <c r="S79" s="70"/>
      <c r="T79" s="70"/>
      <c r="U79" s="222"/>
      <c r="V79" s="219"/>
    </row>
    <row r="80" spans="2:22" ht="15.75" x14ac:dyDescent="0.25">
      <c r="B80" s="256"/>
      <c r="C80" s="227"/>
      <c r="D80" s="70"/>
      <c r="E80" s="70"/>
      <c r="F80" s="222"/>
      <c r="G80" s="240"/>
      <c r="H80" s="235"/>
      <c r="I80" s="70"/>
      <c r="J80" s="70"/>
      <c r="K80" s="230"/>
      <c r="L80" s="219"/>
      <c r="M80" s="235"/>
      <c r="N80" s="70"/>
      <c r="O80" s="70"/>
      <c r="P80" s="222"/>
      <c r="Q80" s="219"/>
      <c r="R80" s="227"/>
      <c r="S80" s="70"/>
      <c r="T80" s="70"/>
      <c r="U80" s="222"/>
      <c r="V80" s="219"/>
    </row>
    <row r="81" spans="2:22" ht="16.5" thickBot="1" x14ac:dyDescent="0.3">
      <c r="B81" s="256"/>
      <c r="C81" s="227"/>
      <c r="D81" s="70"/>
      <c r="E81" s="70"/>
      <c r="F81" s="222"/>
      <c r="G81" s="240"/>
      <c r="H81" s="235"/>
      <c r="I81" s="70"/>
      <c r="J81" s="70"/>
      <c r="K81" s="237"/>
      <c r="L81" s="219"/>
      <c r="M81" s="235"/>
      <c r="N81" s="70"/>
      <c r="O81" s="70"/>
      <c r="P81" s="222"/>
      <c r="Q81" s="219"/>
      <c r="R81" s="227"/>
      <c r="S81" s="70"/>
      <c r="T81" s="70"/>
      <c r="U81" s="222"/>
      <c r="V81" s="219"/>
    </row>
    <row r="82" spans="2:22" ht="16.5" thickTop="1" x14ac:dyDescent="0.25">
      <c r="B82" s="256"/>
      <c r="C82" s="244" t="s">
        <v>237</v>
      </c>
      <c r="D82" s="186">
        <v>15</v>
      </c>
      <c r="E82" s="186">
        <v>15</v>
      </c>
      <c r="F82" s="224">
        <f>COUNT(D82:D87)</f>
        <v>3</v>
      </c>
      <c r="G82" s="239">
        <f t="shared" ref="G82" si="84">SUMPRODUCT(D82:D87,E82:E87)</f>
        <v>585</v>
      </c>
      <c r="H82" s="232"/>
      <c r="I82" s="186"/>
      <c r="J82" s="186"/>
      <c r="K82" s="229">
        <f t="shared" ref="K82" si="85">COUNT(I82:I87)</f>
        <v>0</v>
      </c>
      <c r="L82" s="216">
        <f t="shared" ref="L82" si="86">SUMPRODUCT(I82:I87,J82:J87)</f>
        <v>0</v>
      </c>
      <c r="M82" s="232"/>
      <c r="N82" s="186"/>
      <c r="O82" s="186"/>
      <c r="P82" s="229">
        <f t="shared" ref="P82" si="87">COUNT(N82:N87)</f>
        <v>0</v>
      </c>
      <c r="Q82" s="216">
        <f t="shared" ref="Q82" si="88">SUMPRODUCT(N82:N87,O82:O87)</f>
        <v>0</v>
      </c>
      <c r="R82" s="232"/>
      <c r="S82" s="186"/>
      <c r="T82" s="186"/>
      <c r="U82" s="229">
        <f t="shared" ref="U82" si="89">COUNT(S82:S87)</f>
        <v>0</v>
      </c>
      <c r="V82" s="216">
        <f t="shared" ref="V82" si="90">SUMPRODUCT(S82:S87,T82:T87)</f>
        <v>0</v>
      </c>
    </row>
    <row r="83" spans="2:22" ht="15.75" x14ac:dyDescent="0.25">
      <c r="B83" s="256"/>
      <c r="C83" s="235"/>
      <c r="D83" s="70">
        <v>15</v>
      </c>
      <c r="E83" s="70">
        <v>12</v>
      </c>
      <c r="F83" s="222"/>
      <c r="G83" s="240"/>
      <c r="H83" s="233"/>
      <c r="I83" s="70"/>
      <c r="J83" s="70"/>
      <c r="K83" s="230"/>
      <c r="L83" s="217"/>
      <c r="M83" s="233"/>
      <c r="N83" s="70"/>
      <c r="O83" s="70"/>
      <c r="P83" s="230"/>
      <c r="Q83" s="217"/>
      <c r="R83" s="233"/>
      <c r="S83" s="70"/>
      <c r="T83" s="70"/>
      <c r="U83" s="230"/>
      <c r="V83" s="217"/>
    </row>
    <row r="84" spans="2:22" ht="15.75" x14ac:dyDescent="0.25">
      <c r="B84" s="256"/>
      <c r="C84" s="235"/>
      <c r="D84" s="70">
        <v>15</v>
      </c>
      <c r="E84" s="70">
        <v>12</v>
      </c>
      <c r="F84" s="222"/>
      <c r="G84" s="240"/>
      <c r="H84" s="233"/>
      <c r="I84" s="70"/>
      <c r="J84" s="70"/>
      <c r="K84" s="230"/>
      <c r="L84" s="217"/>
      <c r="M84" s="233"/>
      <c r="N84" s="70"/>
      <c r="O84" s="70"/>
      <c r="P84" s="230"/>
      <c r="Q84" s="217"/>
      <c r="R84" s="233"/>
      <c r="S84" s="70"/>
      <c r="T84" s="70"/>
      <c r="U84" s="230"/>
      <c r="V84" s="217"/>
    </row>
    <row r="85" spans="2:22" ht="15.75" x14ac:dyDescent="0.25">
      <c r="B85" s="256"/>
      <c r="C85" s="235"/>
      <c r="D85" s="70"/>
      <c r="E85" s="70"/>
      <c r="F85" s="222"/>
      <c r="G85" s="240"/>
      <c r="H85" s="233"/>
      <c r="I85" s="70"/>
      <c r="J85" s="70"/>
      <c r="K85" s="230"/>
      <c r="L85" s="217"/>
      <c r="M85" s="233"/>
      <c r="N85" s="70"/>
      <c r="O85" s="70"/>
      <c r="P85" s="230"/>
      <c r="Q85" s="217"/>
      <c r="R85" s="233"/>
      <c r="S85" s="70"/>
      <c r="T85" s="70"/>
      <c r="U85" s="230"/>
      <c r="V85" s="217"/>
    </row>
    <row r="86" spans="2:22" ht="15.75" x14ac:dyDescent="0.25">
      <c r="B86" s="256"/>
      <c r="C86" s="235"/>
      <c r="D86" s="70"/>
      <c r="E86" s="70"/>
      <c r="F86" s="222"/>
      <c r="G86" s="240"/>
      <c r="H86" s="233"/>
      <c r="I86" s="70"/>
      <c r="J86" s="70"/>
      <c r="K86" s="230"/>
      <c r="L86" s="217"/>
      <c r="M86" s="233"/>
      <c r="N86" s="70"/>
      <c r="O86" s="70"/>
      <c r="P86" s="230"/>
      <c r="Q86" s="217"/>
      <c r="R86" s="233"/>
      <c r="S86" s="70"/>
      <c r="T86" s="70"/>
      <c r="U86" s="230"/>
      <c r="V86" s="217"/>
    </row>
    <row r="87" spans="2:22" ht="16.5" thickBot="1" x14ac:dyDescent="0.3">
      <c r="B87" s="256"/>
      <c r="C87" s="245"/>
      <c r="D87" s="185"/>
      <c r="E87" s="185"/>
      <c r="F87" s="223"/>
      <c r="G87" s="241"/>
      <c r="H87" s="234"/>
      <c r="I87" s="185"/>
      <c r="J87" s="185"/>
      <c r="K87" s="231"/>
      <c r="L87" s="218"/>
      <c r="M87" s="234"/>
      <c r="N87" s="185"/>
      <c r="O87" s="185"/>
      <c r="P87" s="231"/>
      <c r="Q87" s="218"/>
      <c r="R87" s="234"/>
      <c r="S87" s="185"/>
      <c r="T87" s="185"/>
      <c r="U87" s="231"/>
      <c r="V87" s="218"/>
    </row>
    <row r="88" spans="2:22" ht="16.5" thickTop="1" x14ac:dyDescent="0.25">
      <c r="B88" s="256"/>
      <c r="C88" s="244" t="s">
        <v>189</v>
      </c>
      <c r="D88" s="186">
        <v>10</v>
      </c>
      <c r="E88" s="186">
        <v>15</v>
      </c>
      <c r="F88" s="224">
        <f>COUNT(D88:D93)</f>
        <v>3</v>
      </c>
      <c r="G88" s="239">
        <f t="shared" ref="G88" si="91">SUMPRODUCT(D88:D93,E88:E93)</f>
        <v>390</v>
      </c>
      <c r="H88" s="232"/>
      <c r="I88" s="186"/>
      <c r="J88" s="186"/>
      <c r="K88" s="229">
        <f t="shared" ref="K88" si="92">COUNT(I88:I93)</f>
        <v>0</v>
      </c>
      <c r="L88" s="216">
        <f t="shared" ref="L88" si="93">SUMPRODUCT(I88:I93,J88:J93)</f>
        <v>0</v>
      </c>
      <c r="M88" s="232"/>
      <c r="N88" s="186"/>
      <c r="O88" s="186"/>
      <c r="P88" s="229">
        <f t="shared" ref="P88" si="94">COUNT(N88:N93)</f>
        <v>0</v>
      </c>
      <c r="Q88" s="216">
        <f t="shared" ref="Q88" si="95">SUMPRODUCT(N88:N93,O88:O93)</f>
        <v>0</v>
      </c>
      <c r="R88" s="232"/>
      <c r="S88" s="186"/>
      <c r="T88" s="186"/>
      <c r="U88" s="229">
        <f t="shared" ref="U88" si="96">COUNT(S88:S93)</f>
        <v>0</v>
      </c>
      <c r="V88" s="216">
        <f t="shared" ref="V88" si="97">SUMPRODUCT(S88:S93,T88:T93)</f>
        <v>0</v>
      </c>
    </row>
    <row r="89" spans="2:22" ht="15.75" x14ac:dyDescent="0.25">
      <c r="B89" s="256"/>
      <c r="C89" s="235"/>
      <c r="D89" s="70">
        <v>10</v>
      </c>
      <c r="E89" s="70">
        <v>12</v>
      </c>
      <c r="F89" s="222"/>
      <c r="G89" s="240"/>
      <c r="H89" s="233"/>
      <c r="I89" s="70"/>
      <c r="J89" s="70"/>
      <c r="K89" s="230"/>
      <c r="L89" s="217"/>
      <c r="M89" s="233"/>
      <c r="N89" s="70"/>
      <c r="O89" s="70"/>
      <c r="P89" s="230"/>
      <c r="Q89" s="217"/>
      <c r="R89" s="233"/>
      <c r="S89" s="70"/>
      <c r="T89" s="70"/>
      <c r="U89" s="230"/>
      <c r="V89" s="217"/>
    </row>
    <row r="90" spans="2:22" ht="15.75" x14ac:dyDescent="0.25">
      <c r="B90" s="256"/>
      <c r="C90" s="235"/>
      <c r="D90" s="70">
        <v>10</v>
      </c>
      <c r="E90" s="70">
        <v>12</v>
      </c>
      <c r="F90" s="222"/>
      <c r="G90" s="240"/>
      <c r="H90" s="233"/>
      <c r="I90" s="70"/>
      <c r="J90" s="70"/>
      <c r="K90" s="230"/>
      <c r="L90" s="217"/>
      <c r="M90" s="233"/>
      <c r="N90" s="70"/>
      <c r="O90" s="70"/>
      <c r="P90" s="230"/>
      <c r="Q90" s="217"/>
      <c r="R90" s="233"/>
      <c r="S90" s="70"/>
      <c r="T90" s="70"/>
      <c r="U90" s="230"/>
      <c r="V90" s="217"/>
    </row>
    <row r="91" spans="2:22" ht="15.75" x14ac:dyDescent="0.25">
      <c r="B91" s="256"/>
      <c r="C91" s="235"/>
      <c r="D91" s="70"/>
      <c r="E91" s="70"/>
      <c r="F91" s="222"/>
      <c r="G91" s="240"/>
      <c r="H91" s="233"/>
      <c r="I91" s="70"/>
      <c r="J91" s="70"/>
      <c r="K91" s="230"/>
      <c r="L91" s="217"/>
      <c r="M91" s="233"/>
      <c r="N91" s="70"/>
      <c r="O91" s="70"/>
      <c r="P91" s="230"/>
      <c r="Q91" s="217"/>
      <c r="R91" s="233"/>
      <c r="S91" s="70"/>
      <c r="T91" s="70"/>
      <c r="U91" s="230"/>
      <c r="V91" s="217"/>
    </row>
    <row r="92" spans="2:22" ht="15.75" x14ac:dyDescent="0.25">
      <c r="B92" s="256"/>
      <c r="C92" s="235"/>
      <c r="D92" s="70"/>
      <c r="E92" s="70"/>
      <c r="F92" s="222"/>
      <c r="G92" s="240"/>
      <c r="H92" s="233"/>
      <c r="I92" s="70"/>
      <c r="J92" s="70"/>
      <c r="K92" s="230"/>
      <c r="L92" s="217"/>
      <c r="M92" s="233"/>
      <c r="N92" s="70"/>
      <c r="O92" s="70"/>
      <c r="P92" s="230"/>
      <c r="Q92" s="217"/>
      <c r="R92" s="233"/>
      <c r="S92" s="70"/>
      <c r="T92" s="70"/>
      <c r="U92" s="230"/>
      <c r="V92" s="217"/>
    </row>
    <row r="93" spans="2:22" ht="16.5" thickBot="1" x14ac:dyDescent="0.3">
      <c r="B93" s="256"/>
      <c r="C93" s="245"/>
      <c r="D93" s="185"/>
      <c r="E93" s="185"/>
      <c r="F93" s="223"/>
      <c r="G93" s="241"/>
      <c r="H93" s="234"/>
      <c r="I93" s="185"/>
      <c r="J93" s="185"/>
      <c r="K93" s="231"/>
      <c r="L93" s="218"/>
      <c r="M93" s="234"/>
      <c r="N93" s="185"/>
      <c r="O93" s="185"/>
      <c r="P93" s="231"/>
      <c r="Q93" s="218"/>
      <c r="R93" s="234"/>
      <c r="S93" s="185"/>
      <c r="T93" s="185"/>
      <c r="U93" s="231"/>
      <c r="V93" s="218"/>
    </row>
    <row r="94" spans="2:22" ht="16.5" thickTop="1" x14ac:dyDescent="0.25">
      <c r="B94" s="256"/>
      <c r="C94" s="244" t="s">
        <v>272</v>
      </c>
      <c r="D94" s="186">
        <v>10</v>
      </c>
      <c r="E94" s="186">
        <v>15</v>
      </c>
      <c r="F94" s="224">
        <f>COUNT(D94:D99)</f>
        <v>3</v>
      </c>
      <c r="G94" s="239">
        <f t="shared" ref="G94" si="98">SUMPRODUCT(D94:D99,E94:E99)</f>
        <v>390</v>
      </c>
      <c r="H94" s="232"/>
      <c r="I94" s="186"/>
      <c r="J94" s="186"/>
      <c r="K94" s="229">
        <f t="shared" ref="K94" si="99">COUNT(I94:I99)</f>
        <v>0</v>
      </c>
      <c r="L94" s="216">
        <f t="shared" ref="L94" si="100">SUMPRODUCT(I94:I99,J94:J99)</f>
        <v>0</v>
      </c>
      <c r="M94" s="232"/>
      <c r="N94" s="186"/>
      <c r="O94" s="186"/>
      <c r="P94" s="229">
        <f t="shared" ref="P94" si="101">COUNT(N94:N99)</f>
        <v>0</v>
      </c>
      <c r="Q94" s="216">
        <f t="shared" ref="Q94" si="102">SUMPRODUCT(N94:N99,O94:O99)</f>
        <v>0</v>
      </c>
      <c r="R94" s="232"/>
      <c r="S94" s="186"/>
      <c r="T94" s="186"/>
      <c r="U94" s="229">
        <f t="shared" ref="U94" si="103">COUNT(S94:S99)</f>
        <v>0</v>
      </c>
      <c r="V94" s="216">
        <f t="shared" ref="V94" si="104">SUMPRODUCT(S94:S99,T94:T99)</f>
        <v>0</v>
      </c>
    </row>
    <row r="95" spans="2:22" ht="15.75" x14ac:dyDescent="0.25">
      <c r="B95" s="256"/>
      <c r="C95" s="235"/>
      <c r="D95" s="70">
        <v>10</v>
      </c>
      <c r="E95" s="70">
        <v>12</v>
      </c>
      <c r="F95" s="222"/>
      <c r="G95" s="240"/>
      <c r="H95" s="233"/>
      <c r="I95" s="70"/>
      <c r="J95" s="70"/>
      <c r="K95" s="230"/>
      <c r="L95" s="217"/>
      <c r="M95" s="233"/>
      <c r="N95" s="70"/>
      <c r="O95" s="70"/>
      <c r="P95" s="230"/>
      <c r="Q95" s="217"/>
      <c r="R95" s="233"/>
      <c r="S95" s="70"/>
      <c r="T95" s="70"/>
      <c r="U95" s="230"/>
      <c r="V95" s="217"/>
    </row>
    <row r="96" spans="2:22" ht="15.75" x14ac:dyDescent="0.25">
      <c r="B96" s="256"/>
      <c r="C96" s="235"/>
      <c r="D96" s="70">
        <v>10</v>
      </c>
      <c r="E96" s="70">
        <v>12</v>
      </c>
      <c r="F96" s="222"/>
      <c r="G96" s="240"/>
      <c r="H96" s="233"/>
      <c r="I96" s="70"/>
      <c r="J96" s="70"/>
      <c r="K96" s="230"/>
      <c r="L96" s="217"/>
      <c r="M96" s="233"/>
      <c r="N96" s="70"/>
      <c r="O96" s="70"/>
      <c r="P96" s="230"/>
      <c r="Q96" s="217"/>
      <c r="R96" s="233"/>
      <c r="S96" s="70"/>
      <c r="T96" s="70"/>
      <c r="U96" s="230"/>
      <c r="V96" s="217"/>
    </row>
    <row r="97" spans="2:22" ht="15.75" x14ac:dyDescent="0.25">
      <c r="B97" s="256"/>
      <c r="C97" s="235"/>
      <c r="D97" s="70"/>
      <c r="E97" s="70"/>
      <c r="F97" s="222"/>
      <c r="G97" s="240"/>
      <c r="H97" s="233"/>
      <c r="I97" s="70"/>
      <c r="J97" s="70"/>
      <c r="K97" s="230"/>
      <c r="L97" s="217"/>
      <c r="M97" s="233"/>
      <c r="N97" s="70"/>
      <c r="O97" s="70"/>
      <c r="P97" s="230"/>
      <c r="Q97" s="217"/>
      <c r="R97" s="233"/>
      <c r="S97" s="70"/>
      <c r="T97" s="70"/>
      <c r="U97" s="230"/>
      <c r="V97" s="217"/>
    </row>
    <row r="98" spans="2:22" ht="15.75" x14ac:dyDescent="0.25">
      <c r="B98" s="256"/>
      <c r="C98" s="235"/>
      <c r="D98" s="70"/>
      <c r="E98" s="70"/>
      <c r="F98" s="222"/>
      <c r="G98" s="240"/>
      <c r="H98" s="233"/>
      <c r="I98" s="70"/>
      <c r="J98" s="70"/>
      <c r="K98" s="230"/>
      <c r="L98" s="217"/>
      <c r="M98" s="233"/>
      <c r="N98" s="70"/>
      <c r="O98" s="70"/>
      <c r="P98" s="230"/>
      <c r="Q98" s="217"/>
      <c r="R98" s="233"/>
      <c r="S98" s="70"/>
      <c r="T98" s="70"/>
      <c r="U98" s="230"/>
      <c r="V98" s="217"/>
    </row>
    <row r="99" spans="2:22" ht="16.5" thickBot="1" x14ac:dyDescent="0.3">
      <c r="B99" s="256"/>
      <c r="C99" s="245"/>
      <c r="D99" s="185"/>
      <c r="E99" s="185"/>
      <c r="F99" s="223"/>
      <c r="G99" s="241"/>
      <c r="H99" s="234"/>
      <c r="I99" s="185"/>
      <c r="J99" s="185"/>
      <c r="K99" s="231"/>
      <c r="L99" s="218"/>
      <c r="M99" s="234"/>
      <c r="N99" s="185"/>
      <c r="O99" s="185"/>
      <c r="P99" s="231"/>
      <c r="Q99" s="218"/>
      <c r="R99" s="234"/>
      <c r="S99" s="185"/>
      <c r="T99" s="185"/>
      <c r="U99" s="231"/>
      <c r="V99" s="218"/>
    </row>
    <row r="100" spans="2:22" ht="16.5" thickTop="1" x14ac:dyDescent="0.25">
      <c r="B100" s="256"/>
      <c r="C100" s="244" t="s">
        <v>162</v>
      </c>
      <c r="D100" s="186">
        <v>10</v>
      </c>
      <c r="E100" s="186">
        <v>12</v>
      </c>
      <c r="F100" s="224">
        <f>COUNT(D100:D105)</f>
        <v>3</v>
      </c>
      <c r="G100" s="239">
        <f t="shared" ref="G100" si="105">SUMPRODUCT(D100:D105,E100:E105)</f>
        <v>360</v>
      </c>
      <c r="H100" s="232"/>
      <c r="I100" s="186"/>
      <c r="J100" s="186"/>
      <c r="K100" s="229">
        <f>COUNT(I100:I105)</f>
        <v>0</v>
      </c>
      <c r="L100" s="216">
        <f t="shared" ref="L100" si="106">SUMPRODUCT(I100:I105,J100:J105)</f>
        <v>0</v>
      </c>
      <c r="M100" s="232"/>
      <c r="N100" s="186"/>
      <c r="O100" s="186"/>
      <c r="P100" s="229">
        <f t="shared" ref="P100" si="107">COUNT(N100:N105)</f>
        <v>0</v>
      </c>
      <c r="Q100" s="216">
        <f t="shared" ref="Q100" si="108">SUMPRODUCT(N100:N105,O100:O105)</f>
        <v>0</v>
      </c>
      <c r="R100" s="232"/>
      <c r="S100" s="186"/>
      <c r="T100" s="186"/>
      <c r="U100" s="229">
        <f t="shared" ref="U100" si="109">COUNT(S100:S105)</f>
        <v>0</v>
      </c>
      <c r="V100" s="216">
        <f t="shared" ref="V100" si="110">SUMPRODUCT(S100:S105,T100:T105)</f>
        <v>0</v>
      </c>
    </row>
    <row r="101" spans="2:22" ht="15.75" x14ac:dyDescent="0.25">
      <c r="B101" s="256"/>
      <c r="C101" s="235"/>
      <c r="D101" s="70">
        <v>10</v>
      </c>
      <c r="E101" s="70">
        <v>12</v>
      </c>
      <c r="F101" s="222"/>
      <c r="G101" s="240"/>
      <c r="H101" s="233"/>
      <c r="I101" s="70"/>
      <c r="J101" s="70"/>
      <c r="K101" s="230"/>
      <c r="L101" s="217"/>
      <c r="M101" s="233"/>
      <c r="N101" s="70"/>
      <c r="O101" s="70"/>
      <c r="P101" s="230"/>
      <c r="Q101" s="217"/>
      <c r="R101" s="233"/>
      <c r="S101" s="70"/>
      <c r="T101" s="70"/>
      <c r="U101" s="230"/>
      <c r="V101" s="217"/>
    </row>
    <row r="102" spans="2:22" ht="15.75" x14ac:dyDescent="0.25">
      <c r="B102" s="256"/>
      <c r="C102" s="235"/>
      <c r="D102" s="70">
        <v>10</v>
      </c>
      <c r="E102" s="70">
        <v>12</v>
      </c>
      <c r="F102" s="222"/>
      <c r="G102" s="240"/>
      <c r="H102" s="233"/>
      <c r="I102" s="70"/>
      <c r="J102" s="70"/>
      <c r="K102" s="230"/>
      <c r="L102" s="217"/>
      <c r="M102" s="233"/>
      <c r="N102" s="70"/>
      <c r="O102" s="70"/>
      <c r="P102" s="230"/>
      <c r="Q102" s="217"/>
      <c r="R102" s="233"/>
      <c r="S102" s="70"/>
      <c r="T102" s="70"/>
      <c r="U102" s="230"/>
      <c r="V102" s="217"/>
    </row>
    <row r="103" spans="2:22" ht="15.75" x14ac:dyDescent="0.25">
      <c r="B103" s="256"/>
      <c r="C103" s="235"/>
      <c r="D103" s="70"/>
      <c r="E103" s="70"/>
      <c r="F103" s="222"/>
      <c r="G103" s="240"/>
      <c r="H103" s="233"/>
      <c r="I103" s="70"/>
      <c r="J103" s="70"/>
      <c r="K103" s="230"/>
      <c r="L103" s="217"/>
      <c r="M103" s="233"/>
      <c r="N103" s="70"/>
      <c r="O103" s="70"/>
      <c r="P103" s="230"/>
      <c r="Q103" s="217"/>
      <c r="R103" s="233"/>
      <c r="S103" s="70"/>
      <c r="T103" s="70"/>
      <c r="U103" s="230"/>
      <c r="V103" s="217"/>
    </row>
    <row r="104" spans="2:22" ht="15.75" x14ac:dyDescent="0.25">
      <c r="B104" s="256"/>
      <c r="C104" s="235"/>
      <c r="D104" s="70"/>
      <c r="E104" s="70"/>
      <c r="F104" s="222"/>
      <c r="G104" s="240"/>
      <c r="H104" s="233"/>
      <c r="I104" s="70"/>
      <c r="J104" s="70"/>
      <c r="K104" s="230"/>
      <c r="L104" s="217"/>
      <c r="M104" s="233"/>
      <c r="N104" s="70"/>
      <c r="O104" s="70"/>
      <c r="P104" s="230"/>
      <c r="Q104" s="217"/>
      <c r="R104" s="233"/>
      <c r="S104" s="70"/>
      <c r="T104" s="70"/>
      <c r="U104" s="230"/>
      <c r="V104" s="217"/>
    </row>
    <row r="105" spans="2:22" ht="16.5" thickBot="1" x14ac:dyDescent="0.3">
      <c r="B105" s="256"/>
      <c r="C105" s="245"/>
      <c r="D105" s="185"/>
      <c r="E105" s="185"/>
      <c r="F105" s="223"/>
      <c r="G105" s="241"/>
      <c r="H105" s="234"/>
      <c r="I105" s="185"/>
      <c r="J105" s="185"/>
      <c r="K105" s="231"/>
      <c r="L105" s="218"/>
      <c r="M105" s="234"/>
      <c r="N105" s="185"/>
      <c r="O105" s="185"/>
      <c r="P105" s="231"/>
      <c r="Q105" s="218"/>
      <c r="R105" s="234"/>
      <c r="S105" s="185"/>
      <c r="T105" s="185"/>
      <c r="U105" s="231"/>
      <c r="V105" s="218"/>
    </row>
    <row r="106" spans="2:22" ht="16.5" thickTop="1" x14ac:dyDescent="0.25">
      <c r="B106" s="256"/>
      <c r="C106" s="235"/>
      <c r="D106" s="70"/>
      <c r="E106" s="70"/>
      <c r="F106" s="222">
        <f t="shared" ref="F106" si="111">COUNT(D106:D111)</f>
        <v>0</v>
      </c>
      <c r="G106" s="240">
        <f t="shared" ref="G106" si="112">SUMPRODUCT(D106:D111,E106:E111)</f>
        <v>0</v>
      </c>
      <c r="H106" s="235"/>
      <c r="I106" s="70"/>
      <c r="J106" s="70"/>
      <c r="K106" s="237">
        <f>COUNT(I106:I111)</f>
        <v>0</v>
      </c>
      <c r="L106" s="219">
        <f t="shared" ref="L106" si="113">SUMPRODUCT(I106:I111,J106:J111)</f>
        <v>0</v>
      </c>
      <c r="M106" s="235"/>
      <c r="N106" s="70"/>
      <c r="O106" s="70"/>
      <c r="P106" s="222">
        <f t="shared" ref="P106" si="114">COUNT(N106:N111)</f>
        <v>0</v>
      </c>
      <c r="Q106" s="219">
        <f t="shared" ref="Q106" si="115">SUMPRODUCT(N106:N111,O106:O111)</f>
        <v>0</v>
      </c>
      <c r="R106" s="227"/>
      <c r="S106" s="70"/>
      <c r="T106" s="70"/>
      <c r="U106" s="222">
        <f t="shared" ref="U106" si="116">COUNT(S106:S111)</f>
        <v>0</v>
      </c>
      <c r="V106" s="219">
        <f t="shared" ref="V106" si="117">SUMPRODUCT(S106:S111,T106:T111)</f>
        <v>0</v>
      </c>
    </row>
    <row r="107" spans="2:22" ht="15.75" x14ac:dyDescent="0.25">
      <c r="B107" s="256"/>
      <c r="C107" s="235"/>
      <c r="D107" s="70"/>
      <c r="E107" s="70"/>
      <c r="F107" s="222"/>
      <c r="G107" s="240"/>
      <c r="H107" s="235"/>
      <c r="I107" s="70"/>
      <c r="J107" s="70"/>
      <c r="K107" s="237"/>
      <c r="L107" s="219"/>
      <c r="M107" s="235"/>
      <c r="N107" s="70"/>
      <c r="O107" s="70"/>
      <c r="P107" s="222"/>
      <c r="Q107" s="219"/>
      <c r="R107" s="227"/>
      <c r="S107" s="70"/>
      <c r="T107" s="70"/>
      <c r="U107" s="222"/>
      <c r="V107" s="219"/>
    </row>
    <row r="108" spans="2:22" ht="15.75" x14ac:dyDescent="0.25">
      <c r="B108" s="256"/>
      <c r="C108" s="235"/>
      <c r="D108" s="70"/>
      <c r="E108" s="70"/>
      <c r="F108" s="222"/>
      <c r="G108" s="240"/>
      <c r="H108" s="235"/>
      <c r="I108" s="70"/>
      <c r="J108" s="70"/>
      <c r="K108" s="222"/>
      <c r="L108" s="219"/>
      <c r="M108" s="235"/>
      <c r="N108" s="70"/>
      <c r="O108" s="70"/>
      <c r="P108" s="222"/>
      <c r="Q108" s="219"/>
      <c r="R108" s="227"/>
      <c r="S108" s="70"/>
      <c r="T108" s="70"/>
      <c r="U108" s="222"/>
      <c r="V108" s="219"/>
    </row>
    <row r="109" spans="2:22" ht="15.75" x14ac:dyDescent="0.25">
      <c r="B109" s="256"/>
      <c r="C109" s="235"/>
      <c r="D109" s="70"/>
      <c r="E109" s="70"/>
      <c r="F109" s="222"/>
      <c r="G109" s="240"/>
      <c r="H109" s="235"/>
      <c r="I109" s="70"/>
      <c r="J109" s="70"/>
      <c r="K109" s="222"/>
      <c r="L109" s="219"/>
      <c r="M109" s="235"/>
      <c r="N109" s="70"/>
      <c r="O109" s="70"/>
      <c r="P109" s="222"/>
      <c r="Q109" s="219"/>
      <c r="R109" s="227"/>
      <c r="S109" s="70"/>
      <c r="T109" s="70"/>
      <c r="U109" s="222"/>
      <c r="V109" s="219"/>
    </row>
    <row r="110" spans="2:22" ht="15.75" x14ac:dyDescent="0.25">
      <c r="B110" s="256"/>
      <c r="C110" s="235"/>
      <c r="D110" s="70"/>
      <c r="E110" s="70"/>
      <c r="F110" s="222"/>
      <c r="G110" s="240"/>
      <c r="H110" s="235"/>
      <c r="I110" s="70"/>
      <c r="J110" s="70"/>
      <c r="K110" s="222"/>
      <c r="L110" s="219"/>
      <c r="M110" s="235"/>
      <c r="N110" s="70"/>
      <c r="O110" s="70"/>
      <c r="P110" s="222"/>
      <c r="Q110" s="219"/>
      <c r="R110" s="227"/>
      <c r="S110" s="70"/>
      <c r="T110" s="70"/>
      <c r="U110" s="222"/>
      <c r="V110" s="219"/>
    </row>
    <row r="111" spans="2:22" ht="16.5" thickBot="1" x14ac:dyDescent="0.3">
      <c r="B111" s="257"/>
      <c r="C111" s="238"/>
      <c r="D111" s="71"/>
      <c r="E111" s="71"/>
      <c r="F111" s="236"/>
      <c r="G111" s="242"/>
      <c r="H111" s="238"/>
      <c r="I111" s="71"/>
      <c r="J111" s="71"/>
      <c r="K111" s="236"/>
      <c r="L111" s="220"/>
      <c r="M111" s="238"/>
      <c r="N111" s="71"/>
      <c r="O111" s="71"/>
      <c r="P111" s="236"/>
      <c r="Q111" s="220"/>
      <c r="R111" s="228"/>
      <c r="S111" s="71"/>
      <c r="T111" s="71"/>
      <c r="U111" s="236"/>
      <c r="V111" s="220"/>
    </row>
    <row r="112" spans="2:22" ht="15.75" x14ac:dyDescent="0.25">
      <c r="B112" s="254" t="s">
        <v>166</v>
      </c>
      <c r="C112" s="247"/>
      <c r="D112" s="73"/>
      <c r="E112" s="73"/>
      <c r="F112" s="221">
        <f>COUNT(D112:D117)</f>
        <v>0</v>
      </c>
      <c r="G112" s="248">
        <f>SUMPRODUCT(D112:D117,E112:E117)</f>
        <v>0</v>
      </c>
      <c r="H112" s="246"/>
      <c r="I112" s="73"/>
      <c r="J112" s="73"/>
      <c r="K112" s="221">
        <f>COUNT(I112:I117)</f>
        <v>0</v>
      </c>
      <c r="L112" s="225">
        <f t="shared" ref="L112" si="118">SUMPRODUCT(I112:I117,J112:J117)</f>
        <v>0</v>
      </c>
      <c r="M112" s="246"/>
      <c r="N112" s="73"/>
      <c r="O112" s="73"/>
      <c r="P112" s="221">
        <f t="shared" ref="P112" si="119">COUNT(N112:N117)</f>
        <v>0</v>
      </c>
      <c r="Q112" s="225">
        <f t="shared" ref="Q112" si="120">SUMPRODUCT(N112:N117,O112:O117)</f>
        <v>0</v>
      </c>
      <c r="R112" s="247"/>
      <c r="S112" s="73"/>
      <c r="T112" s="73"/>
      <c r="U112" s="221">
        <f t="shared" ref="U112" si="121">COUNT(S112:S117)</f>
        <v>0</v>
      </c>
      <c r="V112" s="225">
        <f t="shared" ref="V112" si="122">SUMPRODUCT(S112:S117,T112:T117)</f>
        <v>0</v>
      </c>
    </row>
    <row r="113" spans="2:22" ht="15.75" x14ac:dyDescent="0.25">
      <c r="B113" s="255"/>
      <c r="C113" s="250"/>
      <c r="D113" s="181"/>
      <c r="E113" s="181"/>
      <c r="F113" s="237"/>
      <c r="G113" s="251"/>
      <c r="H113" s="249"/>
      <c r="I113" s="181"/>
      <c r="J113" s="181"/>
      <c r="K113" s="237"/>
      <c r="L113" s="226"/>
      <c r="M113" s="249"/>
      <c r="N113" s="181"/>
      <c r="O113" s="181"/>
      <c r="P113" s="237"/>
      <c r="Q113" s="226"/>
      <c r="R113" s="250"/>
      <c r="S113" s="181"/>
      <c r="T113" s="181"/>
      <c r="U113" s="237"/>
      <c r="V113" s="226"/>
    </row>
    <row r="114" spans="2:22" ht="15.75" x14ac:dyDescent="0.25">
      <c r="B114" s="256"/>
      <c r="C114" s="227"/>
      <c r="D114" s="70"/>
      <c r="E114" s="70"/>
      <c r="F114" s="222"/>
      <c r="G114" s="240"/>
      <c r="H114" s="235"/>
      <c r="I114" s="70"/>
      <c r="J114" s="70"/>
      <c r="K114" s="222"/>
      <c r="L114" s="219"/>
      <c r="M114" s="235"/>
      <c r="N114" s="70"/>
      <c r="O114" s="70"/>
      <c r="P114" s="222"/>
      <c r="Q114" s="219"/>
      <c r="R114" s="227"/>
      <c r="S114" s="70"/>
      <c r="T114" s="70"/>
      <c r="U114" s="222"/>
      <c r="V114" s="219"/>
    </row>
    <row r="115" spans="2:22" ht="15.75" x14ac:dyDescent="0.25">
      <c r="B115" s="256"/>
      <c r="C115" s="227"/>
      <c r="D115" s="70"/>
      <c r="E115" s="70"/>
      <c r="F115" s="222"/>
      <c r="G115" s="240"/>
      <c r="H115" s="235"/>
      <c r="I115" s="70"/>
      <c r="J115" s="70"/>
      <c r="K115" s="222"/>
      <c r="L115" s="219"/>
      <c r="M115" s="235"/>
      <c r="N115" s="70"/>
      <c r="O115" s="70"/>
      <c r="P115" s="222"/>
      <c r="Q115" s="219"/>
      <c r="R115" s="227"/>
      <c r="S115" s="70"/>
      <c r="T115" s="70"/>
      <c r="U115" s="222"/>
      <c r="V115" s="219"/>
    </row>
    <row r="116" spans="2:22" ht="15.75" x14ac:dyDescent="0.25">
      <c r="B116" s="256"/>
      <c r="C116" s="227"/>
      <c r="D116" s="70"/>
      <c r="E116" s="70"/>
      <c r="F116" s="222"/>
      <c r="G116" s="240"/>
      <c r="H116" s="235"/>
      <c r="I116" s="70"/>
      <c r="J116" s="70"/>
      <c r="K116" s="222"/>
      <c r="L116" s="219"/>
      <c r="M116" s="235"/>
      <c r="N116" s="70"/>
      <c r="O116" s="70"/>
      <c r="P116" s="222"/>
      <c r="Q116" s="219"/>
      <c r="R116" s="227"/>
      <c r="S116" s="70"/>
      <c r="T116" s="70"/>
      <c r="U116" s="222"/>
      <c r="V116" s="219"/>
    </row>
    <row r="117" spans="2:22" ht="16.5" thickBot="1" x14ac:dyDescent="0.3">
      <c r="B117" s="256"/>
      <c r="C117" s="227"/>
      <c r="D117" s="70"/>
      <c r="E117" s="70"/>
      <c r="F117" s="222"/>
      <c r="G117" s="240"/>
      <c r="H117" s="235"/>
      <c r="I117" s="70"/>
      <c r="J117" s="70"/>
      <c r="K117" s="222"/>
      <c r="L117" s="219"/>
      <c r="M117" s="235"/>
      <c r="N117" s="70"/>
      <c r="O117" s="70"/>
      <c r="P117" s="222"/>
      <c r="Q117" s="219"/>
      <c r="R117" s="227"/>
      <c r="S117" s="70"/>
      <c r="T117" s="70"/>
      <c r="U117" s="222"/>
      <c r="V117" s="219"/>
    </row>
    <row r="118" spans="2:22" ht="16.5" thickTop="1" x14ac:dyDescent="0.25">
      <c r="B118" s="256"/>
      <c r="C118" s="244"/>
      <c r="D118" s="186"/>
      <c r="E118" s="186"/>
      <c r="F118" s="224">
        <f>COUNT(D118:D123)</f>
        <v>0</v>
      </c>
      <c r="G118" s="239">
        <f>SUMPRODUCT(D118:D123,E118:E123)</f>
        <v>0</v>
      </c>
      <c r="H118" s="232"/>
      <c r="I118" s="186"/>
      <c r="J118" s="186"/>
      <c r="K118" s="229">
        <f>COUNT(I118:I123)</f>
        <v>0</v>
      </c>
      <c r="L118" s="216">
        <f t="shared" ref="L118" si="123">SUMPRODUCT(I118:I123,J118:J123)</f>
        <v>0</v>
      </c>
      <c r="M118" s="232"/>
      <c r="N118" s="186"/>
      <c r="O118" s="186"/>
      <c r="P118" s="229">
        <f t="shared" ref="P118" si="124">COUNT(N118:N123)</f>
        <v>0</v>
      </c>
      <c r="Q118" s="216">
        <f t="shared" ref="Q118" si="125">SUMPRODUCT(N118:N123,O118:O123)</f>
        <v>0</v>
      </c>
      <c r="R118" s="232"/>
      <c r="S118" s="186"/>
      <c r="T118" s="186"/>
      <c r="U118" s="229">
        <f t="shared" ref="U118" si="126">COUNT(S118:S123)</f>
        <v>0</v>
      </c>
      <c r="V118" s="216">
        <f t="shared" ref="V118" si="127">SUMPRODUCT(S118:S123,T118:T123)</f>
        <v>0</v>
      </c>
    </row>
    <row r="119" spans="2:22" ht="15.75" x14ac:dyDescent="0.25">
      <c r="B119" s="256"/>
      <c r="C119" s="235"/>
      <c r="D119" s="70"/>
      <c r="E119" s="70"/>
      <c r="F119" s="222"/>
      <c r="G119" s="240"/>
      <c r="H119" s="233"/>
      <c r="I119" s="70"/>
      <c r="J119" s="70"/>
      <c r="K119" s="230"/>
      <c r="L119" s="217"/>
      <c r="M119" s="233"/>
      <c r="N119" s="70"/>
      <c r="O119" s="70"/>
      <c r="P119" s="230"/>
      <c r="Q119" s="217"/>
      <c r="R119" s="233"/>
      <c r="S119" s="70"/>
      <c r="T119" s="70"/>
      <c r="U119" s="230"/>
      <c r="V119" s="217"/>
    </row>
    <row r="120" spans="2:22" ht="15.75" x14ac:dyDescent="0.25">
      <c r="B120" s="256"/>
      <c r="C120" s="235"/>
      <c r="D120" s="70"/>
      <c r="E120" s="70"/>
      <c r="F120" s="222"/>
      <c r="G120" s="240"/>
      <c r="H120" s="233"/>
      <c r="I120" s="70"/>
      <c r="J120" s="70"/>
      <c r="K120" s="230"/>
      <c r="L120" s="217"/>
      <c r="M120" s="233"/>
      <c r="N120" s="70"/>
      <c r="O120" s="70"/>
      <c r="P120" s="230"/>
      <c r="Q120" s="217"/>
      <c r="R120" s="233"/>
      <c r="S120" s="70"/>
      <c r="T120" s="70"/>
      <c r="U120" s="230"/>
      <c r="V120" s="217"/>
    </row>
    <row r="121" spans="2:22" ht="15.75" x14ac:dyDescent="0.25">
      <c r="B121" s="256"/>
      <c r="C121" s="235"/>
      <c r="D121" s="70"/>
      <c r="E121" s="70"/>
      <c r="F121" s="222"/>
      <c r="G121" s="240"/>
      <c r="H121" s="233"/>
      <c r="I121" s="70"/>
      <c r="J121" s="70"/>
      <c r="K121" s="230"/>
      <c r="L121" s="217"/>
      <c r="M121" s="233"/>
      <c r="N121" s="70"/>
      <c r="O121" s="70"/>
      <c r="P121" s="230"/>
      <c r="Q121" s="217"/>
      <c r="R121" s="233"/>
      <c r="S121" s="70"/>
      <c r="T121" s="70"/>
      <c r="U121" s="230"/>
      <c r="V121" s="217"/>
    </row>
    <row r="122" spans="2:22" ht="15.75" x14ac:dyDescent="0.25">
      <c r="B122" s="256"/>
      <c r="C122" s="235"/>
      <c r="D122" s="70"/>
      <c r="E122" s="70"/>
      <c r="F122" s="222"/>
      <c r="G122" s="240"/>
      <c r="H122" s="233"/>
      <c r="I122" s="70"/>
      <c r="J122" s="70"/>
      <c r="K122" s="230"/>
      <c r="L122" s="217"/>
      <c r="M122" s="233"/>
      <c r="N122" s="70"/>
      <c r="O122" s="70"/>
      <c r="P122" s="230"/>
      <c r="Q122" s="217"/>
      <c r="R122" s="233"/>
      <c r="S122" s="70"/>
      <c r="T122" s="70"/>
      <c r="U122" s="230"/>
      <c r="V122" s="217"/>
    </row>
    <row r="123" spans="2:22" ht="16.5" thickBot="1" x14ac:dyDescent="0.3">
      <c r="B123" s="256"/>
      <c r="C123" s="245"/>
      <c r="D123" s="185"/>
      <c r="E123" s="185"/>
      <c r="F123" s="223"/>
      <c r="G123" s="241"/>
      <c r="H123" s="234"/>
      <c r="I123" s="185"/>
      <c r="J123" s="185"/>
      <c r="K123" s="231"/>
      <c r="L123" s="218"/>
      <c r="M123" s="234"/>
      <c r="N123" s="185"/>
      <c r="O123" s="185"/>
      <c r="P123" s="231"/>
      <c r="Q123" s="218"/>
      <c r="R123" s="234"/>
      <c r="S123" s="185"/>
      <c r="T123" s="185"/>
      <c r="U123" s="231"/>
      <c r="V123" s="218"/>
    </row>
    <row r="124" spans="2:22" ht="16.5" thickTop="1" x14ac:dyDescent="0.25">
      <c r="B124" s="256"/>
      <c r="C124" s="244"/>
      <c r="D124" s="186"/>
      <c r="E124" s="186"/>
      <c r="F124" s="224">
        <f t="shared" ref="F124" si="128">COUNT(D124:D129)</f>
        <v>0</v>
      </c>
      <c r="G124" s="239">
        <f>SUMPRODUCT(D124:D129,E124:E129)</f>
        <v>0</v>
      </c>
      <c r="H124" s="232"/>
      <c r="I124" s="186"/>
      <c r="J124" s="186"/>
      <c r="K124" s="229">
        <f>COUNT(I124:I129)</f>
        <v>0</v>
      </c>
      <c r="L124" s="216">
        <f t="shared" ref="L124" si="129">SUMPRODUCT(I124:I129,J124:J129)</f>
        <v>0</v>
      </c>
      <c r="M124" s="232"/>
      <c r="N124" s="186"/>
      <c r="O124" s="186"/>
      <c r="P124" s="229">
        <f t="shared" ref="P124" si="130">COUNT(N124:N129)</f>
        <v>0</v>
      </c>
      <c r="Q124" s="216">
        <f t="shared" ref="Q124" si="131">SUMPRODUCT(N124:N129,O124:O129)</f>
        <v>0</v>
      </c>
      <c r="R124" s="232"/>
      <c r="S124" s="186"/>
      <c r="T124" s="186"/>
      <c r="U124" s="229">
        <f t="shared" ref="U124" si="132">COUNT(S124:S129)</f>
        <v>0</v>
      </c>
      <c r="V124" s="216">
        <f t="shared" ref="V124" si="133">SUMPRODUCT(S124:S129,T124:T129)</f>
        <v>0</v>
      </c>
    </row>
    <row r="125" spans="2:22" ht="15.75" x14ac:dyDescent="0.25">
      <c r="B125" s="256"/>
      <c r="C125" s="235"/>
      <c r="D125" s="70"/>
      <c r="E125" s="70"/>
      <c r="F125" s="222"/>
      <c r="G125" s="240"/>
      <c r="H125" s="233"/>
      <c r="I125" s="70"/>
      <c r="J125" s="70"/>
      <c r="K125" s="230"/>
      <c r="L125" s="217"/>
      <c r="M125" s="233"/>
      <c r="N125" s="70"/>
      <c r="O125" s="70"/>
      <c r="P125" s="230"/>
      <c r="Q125" s="217"/>
      <c r="R125" s="233"/>
      <c r="S125" s="70"/>
      <c r="T125" s="70"/>
      <c r="U125" s="230"/>
      <c r="V125" s="217"/>
    </row>
    <row r="126" spans="2:22" ht="15.75" x14ac:dyDescent="0.25">
      <c r="B126" s="256"/>
      <c r="C126" s="235"/>
      <c r="D126" s="70"/>
      <c r="E126" s="70"/>
      <c r="F126" s="222"/>
      <c r="G126" s="240"/>
      <c r="H126" s="233"/>
      <c r="I126" s="70"/>
      <c r="J126" s="70"/>
      <c r="K126" s="230"/>
      <c r="L126" s="217"/>
      <c r="M126" s="233"/>
      <c r="N126" s="70"/>
      <c r="O126" s="70"/>
      <c r="P126" s="230"/>
      <c r="Q126" s="217"/>
      <c r="R126" s="233"/>
      <c r="S126" s="70"/>
      <c r="T126" s="70"/>
      <c r="U126" s="230"/>
      <c r="V126" s="217"/>
    </row>
    <row r="127" spans="2:22" ht="15.75" x14ac:dyDescent="0.25">
      <c r="B127" s="256"/>
      <c r="C127" s="235"/>
      <c r="D127" s="70"/>
      <c r="E127" s="70"/>
      <c r="F127" s="222"/>
      <c r="G127" s="240"/>
      <c r="H127" s="233"/>
      <c r="I127" s="70"/>
      <c r="J127" s="70"/>
      <c r="K127" s="230"/>
      <c r="L127" s="217"/>
      <c r="M127" s="233"/>
      <c r="N127" s="70"/>
      <c r="O127" s="70"/>
      <c r="P127" s="230"/>
      <c r="Q127" s="217"/>
      <c r="R127" s="233"/>
      <c r="S127" s="70"/>
      <c r="T127" s="70"/>
      <c r="U127" s="230"/>
      <c r="V127" s="217"/>
    </row>
    <row r="128" spans="2:22" ht="15.75" x14ac:dyDescent="0.25">
      <c r="B128" s="256"/>
      <c r="C128" s="235"/>
      <c r="D128" s="70"/>
      <c r="E128" s="70"/>
      <c r="F128" s="222"/>
      <c r="G128" s="240"/>
      <c r="H128" s="233"/>
      <c r="I128" s="70"/>
      <c r="J128" s="70"/>
      <c r="K128" s="230"/>
      <c r="L128" s="217"/>
      <c r="M128" s="233"/>
      <c r="N128" s="70"/>
      <c r="O128" s="70"/>
      <c r="P128" s="230"/>
      <c r="Q128" s="217"/>
      <c r="R128" s="233"/>
      <c r="S128" s="70"/>
      <c r="T128" s="70"/>
      <c r="U128" s="230"/>
      <c r="V128" s="217"/>
    </row>
    <row r="129" spans="2:22" ht="16.5" thickBot="1" x14ac:dyDescent="0.3">
      <c r="B129" s="256"/>
      <c r="C129" s="245"/>
      <c r="D129" s="185"/>
      <c r="E129" s="185"/>
      <c r="F129" s="223"/>
      <c r="G129" s="241"/>
      <c r="H129" s="234"/>
      <c r="I129" s="185"/>
      <c r="J129" s="185"/>
      <c r="K129" s="231"/>
      <c r="L129" s="218"/>
      <c r="M129" s="234"/>
      <c r="N129" s="185"/>
      <c r="O129" s="185"/>
      <c r="P129" s="231"/>
      <c r="Q129" s="218"/>
      <c r="R129" s="234"/>
      <c r="S129" s="185"/>
      <c r="T129" s="185"/>
      <c r="U129" s="231"/>
      <c r="V129" s="218"/>
    </row>
    <row r="130" spans="2:22" ht="16.5" thickTop="1" x14ac:dyDescent="0.25">
      <c r="B130" s="256"/>
      <c r="C130" s="244"/>
      <c r="D130" s="186"/>
      <c r="E130" s="186"/>
      <c r="F130" s="224">
        <f t="shared" ref="F130" si="134">COUNT(D130:D135)</f>
        <v>0</v>
      </c>
      <c r="G130" s="239">
        <f>SUMPRODUCT(D130:D135,E130:E135)</f>
        <v>0</v>
      </c>
      <c r="H130" s="232"/>
      <c r="I130" s="186"/>
      <c r="J130" s="186"/>
      <c r="K130" s="229">
        <f>COUNT(I130:I135)</f>
        <v>0</v>
      </c>
      <c r="L130" s="216">
        <f t="shared" ref="L130" si="135">SUMPRODUCT(I130:I135,J130:J135)</f>
        <v>0</v>
      </c>
      <c r="M130" s="232"/>
      <c r="N130" s="186"/>
      <c r="O130" s="186"/>
      <c r="P130" s="229">
        <f t="shared" ref="P130" si="136">COUNT(N130:N135)</f>
        <v>0</v>
      </c>
      <c r="Q130" s="216">
        <f t="shared" ref="Q130" si="137">SUMPRODUCT(N130:N135,O130:O135)</f>
        <v>0</v>
      </c>
      <c r="R130" s="232"/>
      <c r="S130" s="186"/>
      <c r="T130" s="186"/>
      <c r="U130" s="229">
        <f t="shared" ref="U130" si="138">COUNT(S130:S135)</f>
        <v>0</v>
      </c>
      <c r="V130" s="216">
        <f t="shared" ref="V130" si="139">SUMPRODUCT(S130:S135,T130:T135)</f>
        <v>0</v>
      </c>
    </row>
    <row r="131" spans="2:22" ht="15.75" x14ac:dyDescent="0.25">
      <c r="B131" s="256"/>
      <c r="C131" s="235"/>
      <c r="D131" s="70"/>
      <c r="E131" s="70"/>
      <c r="F131" s="222"/>
      <c r="G131" s="240"/>
      <c r="H131" s="233"/>
      <c r="I131" s="70"/>
      <c r="J131" s="70"/>
      <c r="K131" s="230"/>
      <c r="L131" s="217"/>
      <c r="M131" s="233"/>
      <c r="N131" s="70"/>
      <c r="O131" s="70"/>
      <c r="P131" s="230"/>
      <c r="Q131" s="217"/>
      <c r="R131" s="233"/>
      <c r="S131" s="70"/>
      <c r="T131" s="70"/>
      <c r="U131" s="230"/>
      <c r="V131" s="217"/>
    </row>
    <row r="132" spans="2:22" ht="15.75" x14ac:dyDescent="0.25">
      <c r="B132" s="256"/>
      <c r="C132" s="235"/>
      <c r="D132" s="70"/>
      <c r="E132" s="70"/>
      <c r="F132" s="222"/>
      <c r="G132" s="240"/>
      <c r="H132" s="233"/>
      <c r="I132" s="70"/>
      <c r="J132" s="70"/>
      <c r="K132" s="230"/>
      <c r="L132" s="217"/>
      <c r="M132" s="233"/>
      <c r="N132" s="70"/>
      <c r="O132" s="70"/>
      <c r="P132" s="230"/>
      <c r="Q132" s="217"/>
      <c r="R132" s="233"/>
      <c r="S132" s="70"/>
      <c r="T132" s="70"/>
      <c r="U132" s="230"/>
      <c r="V132" s="217"/>
    </row>
    <row r="133" spans="2:22" ht="15.75" x14ac:dyDescent="0.25">
      <c r="B133" s="256"/>
      <c r="C133" s="235"/>
      <c r="D133" s="70"/>
      <c r="E133" s="70"/>
      <c r="F133" s="222"/>
      <c r="G133" s="240"/>
      <c r="H133" s="233"/>
      <c r="I133" s="70"/>
      <c r="J133" s="70"/>
      <c r="K133" s="230"/>
      <c r="L133" s="217"/>
      <c r="M133" s="233"/>
      <c r="N133" s="70"/>
      <c r="O133" s="70"/>
      <c r="P133" s="230"/>
      <c r="Q133" s="217"/>
      <c r="R133" s="233"/>
      <c r="S133" s="70"/>
      <c r="T133" s="70"/>
      <c r="U133" s="230"/>
      <c r="V133" s="217"/>
    </row>
    <row r="134" spans="2:22" ht="15.75" x14ac:dyDescent="0.25">
      <c r="B134" s="256"/>
      <c r="C134" s="235"/>
      <c r="D134" s="70"/>
      <c r="E134" s="70"/>
      <c r="F134" s="222"/>
      <c r="G134" s="240"/>
      <c r="H134" s="233"/>
      <c r="I134" s="70"/>
      <c r="J134" s="70"/>
      <c r="K134" s="230"/>
      <c r="L134" s="217"/>
      <c r="M134" s="233"/>
      <c r="N134" s="70"/>
      <c r="O134" s="70"/>
      <c r="P134" s="230"/>
      <c r="Q134" s="217"/>
      <c r="R134" s="233"/>
      <c r="S134" s="70"/>
      <c r="T134" s="70"/>
      <c r="U134" s="230"/>
      <c r="V134" s="217"/>
    </row>
    <row r="135" spans="2:22" ht="16.5" thickBot="1" x14ac:dyDescent="0.3">
      <c r="B135" s="256"/>
      <c r="C135" s="245"/>
      <c r="D135" s="185"/>
      <c r="E135" s="185"/>
      <c r="F135" s="223"/>
      <c r="G135" s="241"/>
      <c r="H135" s="234"/>
      <c r="I135" s="185"/>
      <c r="J135" s="185"/>
      <c r="K135" s="231"/>
      <c r="L135" s="218"/>
      <c r="M135" s="234"/>
      <c r="N135" s="185"/>
      <c r="O135" s="185"/>
      <c r="P135" s="231"/>
      <c r="Q135" s="218"/>
      <c r="R135" s="234"/>
      <c r="S135" s="185"/>
      <c r="T135" s="185"/>
      <c r="U135" s="231"/>
      <c r="V135" s="218"/>
    </row>
    <row r="136" spans="2:22" ht="16.5" thickTop="1" x14ac:dyDescent="0.25">
      <c r="B136" s="256"/>
      <c r="C136" s="244"/>
      <c r="D136" s="186"/>
      <c r="E136" s="186"/>
      <c r="F136" s="224">
        <f t="shared" ref="F136" si="140">COUNT(D136:D141)</f>
        <v>0</v>
      </c>
      <c r="G136" s="239">
        <f t="shared" ref="G136" si="141">SUMPRODUCT(D136:D141,E136:E141)</f>
        <v>0</v>
      </c>
      <c r="H136" s="232"/>
      <c r="I136" s="186"/>
      <c r="J136" s="186"/>
      <c r="K136" s="229">
        <f>COUNT(I136:I141)</f>
        <v>0</v>
      </c>
      <c r="L136" s="216">
        <f t="shared" ref="L136" si="142">SUMPRODUCT(I136:I141,J136:J141)</f>
        <v>0</v>
      </c>
      <c r="M136" s="232"/>
      <c r="N136" s="186"/>
      <c r="O136" s="186"/>
      <c r="P136" s="229">
        <f t="shared" ref="P136" si="143">COUNT(N136:N141)</f>
        <v>0</v>
      </c>
      <c r="Q136" s="216">
        <f t="shared" ref="Q136" si="144">SUMPRODUCT(N136:N141,O136:O141)</f>
        <v>0</v>
      </c>
      <c r="R136" s="232"/>
      <c r="S136" s="186"/>
      <c r="T136" s="186"/>
      <c r="U136" s="229">
        <f t="shared" ref="U136" si="145">COUNT(S136:S141)</f>
        <v>0</v>
      </c>
      <c r="V136" s="216">
        <f t="shared" ref="V136" si="146">SUMPRODUCT(S136:S141,T136:T141)</f>
        <v>0</v>
      </c>
    </row>
    <row r="137" spans="2:22" ht="15.75" x14ac:dyDescent="0.25">
      <c r="B137" s="256"/>
      <c r="C137" s="235"/>
      <c r="D137" s="70"/>
      <c r="E137" s="70"/>
      <c r="F137" s="222"/>
      <c r="G137" s="240"/>
      <c r="H137" s="233"/>
      <c r="I137" s="70"/>
      <c r="J137" s="70"/>
      <c r="K137" s="230"/>
      <c r="L137" s="217"/>
      <c r="M137" s="233"/>
      <c r="N137" s="70"/>
      <c r="O137" s="70"/>
      <c r="P137" s="230"/>
      <c r="Q137" s="217"/>
      <c r="R137" s="233"/>
      <c r="S137" s="70"/>
      <c r="T137" s="70"/>
      <c r="U137" s="230"/>
      <c r="V137" s="217"/>
    </row>
    <row r="138" spans="2:22" ht="15.75" x14ac:dyDescent="0.25">
      <c r="B138" s="256"/>
      <c r="C138" s="235"/>
      <c r="D138" s="70"/>
      <c r="E138" s="70"/>
      <c r="F138" s="222"/>
      <c r="G138" s="240"/>
      <c r="H138" s="233"/>
      <c r="I138" s="70"/>
      <c r="J138" s="70"/>
      <c r="K138" s="230"/>
      <c r="L138" s="217"/>
      <c r="M138" s="233"/>
      <c r="N138" s="70"/>
      <c r="O138" s="70"/>
      <c r="P138" s="230"/>
      <c r="Q138" s="217"/>
      <c r="R138" s="233"/>
      <c r="S138" s="70"/>
      <c r="T138" s="70"/>
      <c r="U138" s="230"/>
      <c r="V138" s="217"/>
    </row>
    <row r="139" spans="2:22" ht="15.75" x14ac:dyDescent="0.25">
      <c r="B139" s="256"/>
      <c r="C139" s="235"/>
      <c r="D139" s="70"/>
      <c r="E139" s="70"/>
      <c r="F139" s="222"/>
      <c r="G139" s="240"/>
      <c r="H139" s="233"/>
      <c r="I139" s="70"/>
      <c r="J139" s="70"/>
      <c r="K139" s="230"/>
      <c r="L139" s="217"/>
      <c r="M139" s="233"/>
      <c r="N139" s="70"/>
      <c r="O139" s="70"/>
      <c r="P139" s="230"/>
      <c r="Q139" s="217"/>
      <c r="R139" s="233"/>
      <c r="S139" s="70"/>
      <c r="T139" s="70"/>
      <c r="U139" s="230"/>
      <c r="V139" s="217"/>
    </row>
    <row r="140" spans="2:22" ht="15.75" x14ac:dyDescent="0.25">
      <c r="B140" s="256"/>
      <c r="C140" s="235"/>
      <c r="D140" s="70"/>
      <c r="E140" s="70"/>
      <c r="F140" s="222"/>
      <c r="G140" s="240"/>
      <c r="H140" s="233"/>
      <c r="I140" s="70"/>
      <c r="J140" s="70"/>
      <c r="K140" s="230"/>
      <c r="L140" s="217"/>
      <c r="M140" s="233"/>
      <c r="N140" s="70"/>
      <c r="O140" s="70"/>
      <c r="P140" s="230"/>
      <c r="Q140" s="217"/>
      <c r="R140" s="233"/>
      <c r="S140" s="70"/>
      <c r="T140" s="70"/>
      <c r="U140" s="230"/>
      <c r="V140" s="217"/>
    </row>
    <row r="141" spans="2:22" ht="16.5" thickBot="1" x14ac:dyDescent="0.3">
      <c r="B141" s="256"/>
      <c r="C141" s="245"/>
      <c r="D141" s="185"/>
      <c r="E141" s="185"/>
      <c r="F141" s="223"/>
      <c r="G141" s="241"/>
      <c r="H141" s="234"/>
      <c r="I141" s="185"/>
      <c r="J141" s="185"/>
      <c r="K141" s="231"/>
      <c r="L141" s="218"/>
      <c r="M141" s="234"/>
      <c r="N141" s="185"/>
      <c r="O141" s="185"/>
      <c r="P141" s="231"/>
      <c r="Q141" s="218"/>
      <c r="R141" s="234"/>
      <c r="S141" s="185"/>
      <c r="T141" s="185"/>
      <c r="U141" s="231"/>
      <c r="V141" s="218"/>
    </row>
    <row r="142" spans="2:22" ht="16.5" thickTop="1" x14ac:dyDescent="0.25">
      <c r="B142" s="256"/>
      <c r="C142" s="235"/>
      <c r="D142" s="70"/>
      <c r="E142" s="70"/>
      <c r="F142" s="222">
        <f t="shared" ref="F142" si="147">COUNT(D142:D147)</f>
        <v>0</v>
      </c>
      <c r="G142" s="240">
        <f>SUMPRODUCT(D142:D147,E142:E147)</f>
        <v>0</v>
      </c>
      <c r="H142" s="235"/>
      <c r="I142" s="70"/>
      <c r="J142" s="70"/>
      <c r="K142" s="222">
        <f>COUNT(I142:I147)</f>
        <v>0</v>
      </c>
      <c r="L142" s="219">
        <f t="shared" ref="L142" si="148">SUMPRODUCT(I142:I147,J142:J147)</f>
        <v>0</v>
      </c>
      <c r="M142" s="235"/>
      <c r="N142" s="70"/>
      <c r="O142" s="70"/>
      <c r="P142" s="222">
        <f t="shared" ref="P142" si="149">COUNT(N142:N147)</f>
        <v>0</v>
      </c>
      <c r="Q142" s="219">
        <f t="shared" ref="Q142" si="150">SUMPRODUCT(N142:N147,O142:O147)</f>
        <v>0</v>
      </c>
      <c r="R142" s="227"/>
      <c r="S142" s="70"/>
      <c r="T142" s="70"/>
      <c r="U142" s="222">
        <f t="shared" ref="U142" si="151">COUNT(S142:S147)</f>
        <v>0</v>
      </c>
      <c r="V142" s="219">
        <f t="shared" ref="V142" si="152">SUMPRODUCT(S142:S147,T142:T147)</f>
        <v>0</v>
      </c>
    </row>
    <row r="143" spans="2:22" ht="15.75" x14ac:dyDescent="0.25">
      <c r="B143" s="256"/>
      <c r="C143" s="235"/>
      <c r="D143" s="70"/>
      <c r="E143" s="70"/>
      <c r="F143" s="222"/>
      <c r="G143" s="240"/>
      <c r="H143" s="235"/>
      <c r="I143" s="70"/>
      <c r="J143" s="70"/>
      <c r="K143" s="222"/>
      <c r="L143" s="219"/>
      <c r="M143" s="235"/>
      <c r="N143" s="70"/>
      <c r="O143" s="70"/>
      <c r="P143" s="222"/>
      <c r="Q143" s="219"/>
      <c r="R143" s="227"/>
      <c r="S143" s="70"/>
      <c r="T143" s="70"/>
      <c r="U143" s="222"/>
      <c r="V143" s="219"/>
    </row>
    <row r="144" spans="2:22" ht="15.75" x14ac:dyDescent="0.25">
      <c r="B144" s="256"/>
      <c r="C144" s="235"/>
      <c r="D144" s="70"/>
      <c r="E144" s="70"/>
      <c r="F144" s="222"/>
      <c r="G144" s="240"/>
      <c r="H144" s="235"/>
      <c r="I144" s="70"/>
      <c r="J144" s="70"/>
      <c r="K144" s="222"/>
      <c r="L144" s="219"/>
      <c r="M144" s="235"/>
      <c r="N144" s="70"/>
      <c r="O144" s="70"/>
      <c r="P144" s="222"/>
      <c r="Q144" s="219"/>
      <c r="R144" s="227"/>
      <c r="S144" s="70"/>
      <c r="T144" s="70"/>
      <c r="U144" s="222"/>
      <c r="V144" s="219"/>
    </row>
    <row r="145" spans="2:22" ht="15.75" x14ac:dyDescent="0.25">
      <c r="B145" s="256"/>
      <c r="C145" s="235"/>
      <c r="D145" s="70"/>
      <c r="E145" s="70"/>
      <c r="F145" s="222"/>
      <c r="G145" s="240"/>
      <c r="H145" s="235"/>
      <c r="I145" s="70"/>
      <c r="J145" s="70"/>
      <c r="K145" s="222"/>
      <c r="L145" s="219"/>
      <c r="M145" s="235"/>
      <c r="N145" s="70"/>
      <c r="O145" s="70"/>
      <c r="P145" s="222"/>
      <c r="Q145" s="219"/>
      <c r="R145" s="227"/>
      <c r="S145" s="70"/>
      <c r="T145" s="70"/>
      <c r="U145" s="222"/>
      <c r="V145" s="219"/>
    </row>
    <row r="146" spans="2:22" ht="15.75" x14ac:dyDescent="0.25">
      <c r="B146" s="256"/>
      <c r="C146" s="235"/>
      <c r="D146" s="70"/>
      <c r="E146" s="70"/>
      <c r="F146" s="222"/>
      <c r="G146" s="240"/>
      <c r="H146" s="235"/>
      <c r="I146" s="70"/>
      <c r="J146" s="70"/>
      <c r="K146" s="222"/>
      <c r="L146" s="219"/>
      <c r="M146" s="235"/>
      <c r="N146" s="70"/>
      <c r="O146" s="70"/>
      <c r="P146" s="222"/>
      <c r="Q146" s="219"/>
      <c r="R146" s="227"/>
      <c r="S146" s="70"/>
      <c r="T146" s="70"/>
      <c r="U146" s="222"/>
      <c r="V146" s="219"/>
    </row>
    <row r="147" spans="2:22" ht="16.5" thickBot="1" x14ac:dyDescent="0.3">
      <c r="B147" s="257"/>
      <c r="C147" s="238"/>
      <c r="D147" s="71"/>
      <c r="E147" s="71"/>
      <c r="F147" s="236"/>
      <c r="G147" s="242"/>
      <c r="H147" s="238"/>
      <c r="I147" s="71"/>
      <c r="J147" s="71"/>
      <c r="K147" s="236"/>
      <c r="L147" s="220"/>
      <c r="M147" s="238"/>
      <c r="N147" s="71"/>
      <c r="O147" s="71"/>
      <c r="P147" s="236"/>
      <c r="Q147" s="220"/>
      <c r="R147" s="228"/>
      <c r="S147" s="71"/>
      <c r="T147" s="71"/>
      <c r="U147" s="236"/>
      <c r="V147" s="220"/>
    </row>
    <row r="148" spans="2:22" ht="15.75" x14ac:dyDescent="0.25">
      <c r="B148" s="254" t="s">
        <v>167</v>
      </c>
      <c r="C148" s="246"/>
      <c r="D148" s="73"/>
      <c r="E148" s="73"/>
      <c r="F148" s="221">
        <f>COUNT(D148:D153)</f>
        <v>0</v>
      </c>
      <c r="G148" s="248">
        <f t="shared" ref="G148" si="153">SUMPRODUCT(D148:D153,E148:E153)</f>
        <v>0</v>
      </c>
      <c r="H148" s="246"/>
      <c r="I148" s="73"/>
      <c r="J148" s="73"/>
      <c r="K148" s="221">
        <f>COUNT(I148:I153)</f>
        <v>0</v>
      </c>
      <c r="L148" s="225">
        <f t="shared" ref="L148" si="154">SUMPRODUCT(I148:I153,J148:J153)</f>
        <v>0</v>
      </c>
      <c r="M148" s="246"/>
      <c r="N148" s="73"/>
      <c r="O148" s="73"/>
      <c r="P148" s="221">
        <f t="shared" ref="P148" si="155">COUNT(N148:N153)</f>
        <v>0</v>
      </c>
      <c r="Q148" s="225">
        <f t="shared" ref="Q148" si="156">SUMPRODUCT(N148:N153,O148:O153)</f>
        <v>0</v>
      </c>
      <c r="R148" s="247"/>
      <c r="S148" s="73"/>
      <c r="T148" s="73"/>
      <c r="U148" s="221">
        <f t="shared" ref="U148" si="157">COUNT(S148:S153)</f>
        <v>0</v>
      </c>
      <c r="V148" s="225">
        <f t="shared" ref="V148" si="158">SUMPRODUCT(S148:S153,T148:T153)</f>
        <v>0</v>
      </c>
    </row>
    <row r="149" spans="2:22" ht="15.75" x14ac:dyDescent="0.25">
      <c r="B149" s="255"/>
      <c r="C149" s="249"/>
      <c r="D149" s="181"/>
      <c r="E149" s="181"/>
      <c r="F149" s="237"/>
      <c r="G149" s="251"/>
      <c r="H149" s="249"/>
      <c r="I149" s="181"/>
      <c r="J149" s="181"/>
      <c r="K149" s="237"/>
      <c r="L149" s="226"/>
      <c r="M149" s="249"/>
      <c r="N149" s="181"/>
      <c r="O149" s="181"/>
      <c r="P149" s="237"/>
      <c r="Q149" s="226"/>
      <c r="R149" s="250"/>
      <c r="S149" s="181"/>
      <c r="T149" s="181"/>
      <c r="U149" s="237"/>
      <c r="V149" s="226"/>
    </row>
    <row r="150" spans="2:22" ht="15.75" x14ac:dyDescent="0.25">
      <c r="B150" s="256"/>
      <c r="C150" s="235"/>
      <c r="D150" s="70"/>
      <c r="E150" s="70"/>
      <c r="F150" s="222"/>
      <c r="G150" s="240"/>
      <c r="H150" s="235"/>
      <c r="I150" s="70"/>
      <c r="J150" s="70"/>
      <c r="K150" s="222"/>
      <c r="L150" s="219"/>
      <c r="M150" s="235"/>
      <c r="N150" s="70"/>
      <c r="O150" s="70"/>
      <c r="P150" s="222"/>
      <c r="Q150" s="219"/>
      <c r="R150" s="227"/>
      <c r="S150" s="70"/>
      <c r="T150" s="70"/>
      <c r="U150" s="222"/>
      <c r="V150" s="219"/>
    </row>
    <row r="151" spans="2:22" ht="15.75" x14ac:dyDescent="0.25">
      <c r="B151" s="256"/>
      <c r="C151" s="235"/>
      <c r="D151" s="70"/>
      <c r="E151" s="70"/>
      <c r="F151" s="222"/>
      <c r="G151" s="240"/>
      <c r="H151" s="235"/>
      <c r="I151" s="70"/>
      <c r="J151" s="70"/>
      <c r="K151" s="222"/>
      <c r="L151" s="219"/>
      <c r="M151" s="235"/>
      <c r="N151" s="70"/>
      <c r="O151" s="70"/>
      <c r="P151" s="222"/>
      <c r="Q151" s="219"/>
      <c r="R151" s="227"/>
      <c r="S151" s="70"/>
      <c r="T151" s="70"/>
      <c r="U151" s="222"/>
      <c r="V151" s="219"/>
    </row>
    <row r="152" spans="2:22" ht="15.75" x14ac:dyDescent="0.25">
      <c r="B152" s="256"/>
      <c r="C152" s="235"/>
      <c r="D152" s="70"/>
      <c r="E152" s="70"/>
      <c r="F152" s="222"/>
      <c r="G152" s="240"/>
      <c r="H152" s="235"/>
      <c r="I152" s="70"/>
      <c r="J152" s="70"/>
      <c r="K152" s="222"/>
      <c r="L152" s="219"/>
      <c r="M152" s="235"/>
      <c r="N152" s="70"/>
      <c r="O152" s="70"/>
      <c r="P152" s="222"/>
      <c r="Q152" s="219"/>
      <c r="R152" s="227"/>
      <c r="S152" s="70"/>
      <c r="T152" s="70"/>
      <c r="U152" s="222"/>
      <c r="V152" s="219"/>
    </row>
    <row r="153" spans="2:22" ht="16.5" thickBot="1" x14ac:dyDescent="0.3">
      <c r="B153" s="256"/>
      <c r="C153" s="235"/>
      <c r="D153" s="70"/>
      <c r="E153" s="70"/>
      <c r="F153" s="222"/>
      <c r="G153" s="240"/>
      <c r="H153" s="235"/>
      <c r="I153" s="70"/>
      <c r="J153" s="70"/>
      <c r="K153" s="222"/>
      <c r="L153" s="219"/>
      <c r="M153" s="235"/>
      <c r="N153" s="70"/>
      <c r="O153" s="70"/>
      <c r="P153" s="222"/>
      <c r="Q153" s="219"/>
      <c r="R153" s="227"/>
      <c r="S153" s="70"/>
      <c r="T153" s="70"/>
      <c r="U153" s="222"/>
      <c r="V153" s="219"/>
    </row>
    <row r="154" spans="2:22" ht="16.5" thickTop="1" x14ac:dyDescent="0.25">
      <c r="B154" s="256"/>
      <c r="C154" s="244"/>
      <c r="D154" s="186"/>
      <c r="E154" s="186"/>
      <c r="F154" s="224">
        <f>COUNT(D154:D159)</f>
        <v>0</v>
      </c>
      <c r="G154" s="239">
        <f t="shared" ref="G154" si="159">SUMPRODUCT(D154:D159,E154:E159)</f>
        <v>0</v>
      </c>
      <c r="H154" s="232"/>
      <c r="I154" s="186"/>
      <c r="J154" s="186"/>
      <c r="K154" s="229">
        <f t="shared" ref="K154" si="160">COUNT(I154:I159)</f>
        <v>0</v>
      </c>
      <c r="L154" s="216">
        <f t="shared" ref="L154" si="161">SUMPRODUCT(I154:I159,J154:J159)</f>
        <v>0</v>
      </c>
      <c r="M154" s="232"/>
      <c r="N154" s="186"/>
      <c r="O154" s="186"/>
      <c r="P154" s="229">
        <f t="shared" ref="P154" si="162">COUNT(N154:N159)</f>
        <v>0</v>
      </c>
      <c r="Q154" s="216">
        <f t="shared" ref="Q154" si="163">SUMPRODUCT(N154:N159,O154:O159)</f>
        <v>0</v>
      </c>
      <c r="R154" s="232"/>
      <c r="S154" s="186"/>
      <c r="T154" s="186"/>
      <c r="U154" s="229">
        <f t="shared" ref="U154" si="164">COUNT(S154:S159)</f>
        <v>0</v>
      </c>
      <c r="V154" s="216">
        <f t="shared" ref="V154" si="165">SUMPRODUCT(S154:S159,T154:T159)</f>
        <v>0</v>
      </c>
    </row>
    <row r="155" spans="2:22" ht="15.75" x14ac:dyDescent="0.25">
      <c r="B155" s="256"/>
      <c r="C155" s="235"/>
      <c r="D155" s="70"/>
      <c r="E155" s="70"/>
      <c r="F155" s="222"/>
      <c r="G155" s="240"/>
      <c r="H155" s="233"/>
      <c r="I155" s="70"/>
      <c r="J155" s="70"/>
      <c r="K155" s="230"/>
      <c r="L155" s="217"/>
      <c r="M155" s="233"/>
      <c r="N155" s="70"/>
      <c r="O155" s="70"/>
      <c r="P155" s="230"/>
      <c r="Q155" s="217"/>
      <c r="R155" s="233"/>
      <c r="S155" s="70"/>
      <c r="T155" s="70"/>
      <c r="U155" s="230"/>
      <c r="V155" s="217"/>
    </row>
    <row r="156" spans="2:22" ht="15.75" x14ac:dyDescent="0.25">
      <c r="B156" s="256"/>
      <c r="C156" s="235"/>
      <c r="D156" s="70"/>
      <c r="E156" s="70"/>
      <c r="F156" s="222"/>
      <c r="G156" s="240"/>
      <c r="H156" s="233"/>
      <c r="I156" s="70"/>
      <c r="J156" s="70"/>
      <c r="K156" s="230"/>
      <c r="L156" s="217"/>
      <c r="M156" s="233"/>
      <c r="N156" s="70"/>
      <c r="O156" s="70"/>
      <c r="P156" s="230"/>
      <c r="Q156" s="217"/>
      <c r="R156" s="233"/>
      <c r="S156" s="70"/>
      <c r="T156" s="70"/>
      <c r="U156" s="230"/>
      <c r="V156" s="217"/>
    </row>
    <row r="157" spans="2:22" ht="15.75" x14ac:dyDescent="0.25">
      <c r="B157" s="256"/>
      <c r="C157" s="235"/>
      <c r="D157" s="70"/>
      <c r="E157" s="70"/>
      <c r="F157" s="222"/>
      <c r="G157" s="240"/>
      <c r="H157" s="233"/>
      <c r="I157" s="70"/>
      <c r="J157" s="70"/>
      <c r="K157" s="230"/>
      <c r="L157" s="217"/>
      <c r="M157" s="233"/>
      <c r="N157" s="70"/>
      <c r="O157" s="70"/>
      <c r="P157" s="230"/>
      <c r="Q157" s="217"/>
      <c r="R157" s="233"/>
      <c r="S157" s="70"/>
      <c r="T157" s="70"/>
      <c r="U157" s="230"/>
      <c r="V157" s="217"/>
    </row>
    <row r="158" spans="2:22" ht="15.75" x14ac:dyDescent="0.25">
      <c r="B158" s="256"/>
      <c r="C158" s="235"/>
      <c r="D158" s="70"/>
      <c r="E158" s="70"/>
      <c r="F158" s="222"/>
      <c r="G158" s="240"/>
      <c r="H158" s="233"/>
      <c r="I158" s="70"/>
      <c r="J158" s="70"/>
      <c r="K158" s="230"/>
      <c r="L158" s="217"/>
      <c r="M158" s="233"/>
      <c r="N158" s="70"/>
      <c r="O158" s="70"/>
      <c r="P158" s="230"/>
      <c r="Q158" s="217"/>
      <c r="R158" s="233"/>
      <c r="S158" s="70"/>
      <c r="T158" s="70"/>
      <c r="U158" s="230"/>
      <c r="V158" s="217"/>
    </row>
    <row r="159" spans="2:22" ht="16.5" thickBot="1" x14ac:dyDescent="0.3">
      <c r="B159" s="256"/>
      <c r="C159" s="245"/>
      <c r="D159" s="185"/>
      <c r="E159" s="185"/>
      <c r="F159" s="223"/>
      <c r="G159" s="241"/>
      <c r="H159" s="234"/>
      <c r="I159" s="185"/>
      <c r="J159" s="185"/>
      <c r="K159" s="231"/>
      <c r="L159" s="218"/>
      <c r="M159" s="234"/>
      <c r="N159" s="185"/>
      <c r="O159" s="185"/>
      <c r="P159" s="231"/>
      <c r="Q159" s="218"/>
      <c r="R159" s="234"/>
      <c r="S159" s="185"/>
      <c r="T159" s="185"/>
      <c r="U159" s="231"/>
      <c r="V159" s="218"/>
    </row>
    <row r="160" spans="2:22" ht="16.5" thickTop="1" x14ac:dyDescent="0.25">
      <c r="B160" s="256"/>
      <c r="C160" s="235"/>
      <c r="D160" s="70"/>
      <c r="E160" s="70"/>
      <c r="F160" s="222">
        <f t="shared" ref="F160" si="166">COUNT(D160:D165)</f>
        <v>0</v>
      </c>
      <c r="G160" s="240">
        <f t="shared" ref="G160" si="167">SUMPRODUCT(D160:D165,E160:E165)</f>
        <v>0</v>
      </c>
      <c r="H160" s="235"/>
      <c r="I160" s="70"/>
      <c r="J160" s="70"/>
      <c r="K160" s="222">
        <f>COUNT(I160:I165)</f>
        <v>0</v>
      </c>
      <c r="L160" s="219">
        <f t="shared" ref="L160" si="168">SUMPRODUCT(I160:I165,J160:J165)</f>
        <v>0</v>
      </c>
      <c r="M160" s="235"/>
      <c r="N160" s="70"/>
      <c r="O160" s="70"/>
      <c r="P160" s="222">
        <f t="shared" ref="P160" si="169">COUNT(N160:N165)</f>
        <v>0</v>
      </c>
      <c r="Q160" s="219">
        <f t="shared" ref="Q160" si="170">SUMPRODUCT(N160:N165,O160:O165)</f>
        <v>0</v>
      </c>
      <c r="R160" s="227"/>
      <c r="S160" s="70"/>
      <c r="T160" s="70"/>
      <c r="U160" s="222">
        <f t="shared" ref="U160" si="171">COUNT(S160:S165)</f>
        <v>0</v>
      </c>
      <c r="V160" s="219">
        <f t="shared" ref="V160" si="172">SUMPRODUCT(S160:S165,T160:T165)</f>
        <v>0</v>
      </c>
    </row>
    <row r="161" spans="2:22" ht="15.75" x14ac:dyDescent="0.25">
      <c r="B161" s="256"/>
      <c r="C161" s="235"/>
      <c r="D161" s="70"/>
      <c r="E161" s="70"/>
      <c r="F161" s="222"/>
      <c r="G161" s="240"/>
      <c r="H161" s="235"/>
      <c r="I161" s="70"/>
      <c r="J161" s="70"/>
      <c r="K161" s="222"/>
      <c r="L161" s="219"/>
      <c r="M161" s="235"/>
      <c r="N161" s="70"/>
      <c r="O161" s="70"/>
      <c r="P161" s="222"/>
      <c r="Q161" s="219"/>
      <c r="R161" s="227"/>
      <c r="S161" s="70"/>
      <c r="T161" s="70"/>
      <c r="U161" s="222"/>
      <c r="V161" s="219"/>
    </row>
    <row r="162" spans="2:22" ht="15.75" x14ac:dyDescent="0.25">
      <c r="B162" s="256"/>
      <c r="C162" s="235"/>
      <c r="D162" s="70"/>
      <c r="E162" s="70"/>
      <c r="F162" s="222"/>
      <c r="G162" s="240"/>
      <c r="H162" s="235"/>
      <c r="I162" s="70"/>
      <c r="J162" s="70"/>
      <c r="K162" s="222"/>
      <c r="L162" s="219"/>
      <c r="M162" s="235"/>
      <c r="N162" s="70"/>
      <c r="O162" s="70"/>
      <c r="P162" s="222"/>
      <c r="Q162" s="219"/>
      <c r="R162" s="227"/>
      <c r="S162" s="70"/>
      <c r="T162" s="70"/>
      <c r="U162" s="222"/>
      <c r="V162" s="219"/>
    </row>
    <row r="163" spans="2:22" ht="15.75" x14ac:dyDescent="0.25">
      <c r="B163" s="256"/>
      <c r="C163" s="235"/>
      <c r="D163" s="70"/>
      <c r="E163" s="70"/>
      <c r="F163" s="222"/>
      <c r="G163" s="240"/>
      <c r="H163" s="235"/>
      <c r="I163" s="70"/>
      <c r="J163" s="70"/>
      <c r="K163" s="222"/>
      <c r="L163" s="219"/>
      <c r="M163" s="235"/>
      <c r="N163" s="70"/>
      <c r="O163" s="70"/>
      <c r="P163" s="222"/>
      <c r="Q163" s="219"/>
      <c r="R163" s="227"/>
      <c r="S163" s="70"/>
      <c r="T163" s="70"/>
      <c r="U163" s="222"/>
      <c r="V163" s="219"/>
    </row>
    <row r="164" spans="2:22" ht="15.75" x14ac:dyDescent="0.25">
      <c r="B164" s="256"/>
      <c r="C164" s="235"/>
      <c r="D164" s="70"/>
      <c r="E164" s="70"/>
      <c r="F164" s="222"/>
      <c r="G164" s="240"/>
      <c r="H164" s="235"/>
      <c r="I164" s="70"/>
      <c r="J164" s="70"/>
      <c r="K164" s="222"/>
      <c r="L164" s="219"/>
      <c r="M164" s="235"/>
      <c r="N164" s="70"/>
      <c r="O164" s="70"/>
      <c r="P164" s="222"/>
      <c r="Q164" s="219"/>
      <c r="R164" s="227"/>
      <c r="S164" s="70"/>
      <c r="T164" s="70"/>
      <c r="U164" s="222"/>
      <c r="V164" s="219"/>
    </row>
    <row r="165" spans="2:22" ht="16.5" thickBot="1" x14ac:dyDescent="0.3">
      <c r="B165" s="256"/>
      <c r="C165" s="235"/>
      <c r="D165" s="70"/>
      <c r="E165" s="70"/>
      <c r="F165" s="222"/>
      <c r="G165" s="240"/>
      <c r="H165" s="235"/>
      <c r="I165" s="70"/>
      <c r="J165" s="70"/>
      <c r="K165" s="222"/>
      <c r="L165" s="219"/>
      <c r="M165" s="235"/>
      <c r="N165" s="70"/>
      <c r="O165" s="70"/>
      <c r="P165" s="222"/>
      <c r="Q165" s="219"/>
      <c r="R165" s="227"/>
      <c r="S165" s="70"/>
      <c r="T165" s="70"/>
      <c r="U165" s="222"/>
      <c r="V165" s="219"/>
    </row>
    <row r="166" spans="2:22" ht="16.5" thickTop="1" x14ac:dyDescent="0.25">
      <c r="B166" s="256"/>
      <c r="C166" s="244"/>
      <c r="D166" s="186"/>
      <c r="E166" s="186"/>
      <c r="F166" s="224">
        <f t="shared" ref="F166" si="173">COUNT(D166:D171)</f>
        <v>0</v>
      </c>
      <c r="G166" s="239">
        <f t="shared" ref="G166" si="174">SUMPRODUCT(D166:D171,E166:E171)</f>
        <v>0</v>
      </c>
      <c r="H166" s="232"/>
      <c r="I166" s="186"/>
      <c r="J166" s="186"/>
      <c r="K166" s="229">
        <f>COUNT(I166:I171)</f>
        <v>0</v>
      </c>
      <c r="L166" s="216">
        <f t="shared" ref="L166" si="175">SUMPRODUCT(I166:I171,J166:J171)</f>
        <v>0</v>
      </c>
      <c r="M166" s="232"/>
      <c r="N166" s="186"/>
      <c r="O166" s="186"/>
      <c r="P166" s="229">
        <f t="shared" ref="P166" si="176">COUNT(N166:N171)</f>
        <v>0</v>
      </c>
      <c r="Q166" s="216">
        <f t="shared" ref="Q166" si="177">SUMPRODUCT(N166:N171,O166:O171)</f>
        <v>0</v>
      </c>
      <c r="R166" s="232"/>
      <c r="S166" s="186"/>
      <c r="T166" s="186"/>
      <c r="U166" s="229">
        <f t="shared" ref="U166" si="178">COUNT(S166:S171)</f>
        <v>0</v>
      </c>
      <c r="V166" s="216">
        <f t="shared" ref="V166" si="179">SUMPRODUCT(S166:S171,T166:T171)</f>
        <v>0</v>
      </c>
    </row>
    <row r="167" spans="2:22" ht="15.75" x14ac:dyDescent="0.25">
      <c r="B167" s="256"/>
      <c r="C167" s="235"/>
      <c r="D167" s="70"/>
      <c r="E167" s="70"/>
      <c r="F167" s="222"/>
      <c r="G167" s="240"/>
      <c r="H167" s="233"/>
      <c r="I167" s="70"/>
      <c r="J167" s="70"/>
      <c r="K167" s="230"/>
      <c r="L167" s="217"/>
      <c r="M167" s="233"/>
      <c r="N167" s="70"/>
      <c r="O167" s="70"/>
      <c r="P167" s="230"/>
      <c r="Q167" s="217"/>
      <c r="R167" s="233"/>
      <c r="S167" s="70"/>
      <c r="T167" s="70"/>
      <c r="U167" s="230"/>
      <c r="V167" s="217"/>
    </row>
    <row r="168" spans="2:22" ht="15.75" x14ac:dyDescent="0.25">
      <c r="B168" s="256"/>
      <c r="C168" s="235"/>
      <c r="D168" s="70"/>
      <c r="E168" s="70"/>
      <c r="F168" s="222"/>
      <c r="G168" s="240"/>
      <c r="H168" s="233"/>
      <c r="I168" s="70"/>
      <c r="J168" s="70"/>
      <c r="K168" s="230"/>
      <c r="L168" s="217"/>
      <c r="M168" s="233"/>
      <c r="N168" s="70"/>
      <c r="O168" s="70"/>
      <c r="P168" s="230"/>
      <c r="Q168" s="217"/>
      <c r="R168" s="233"/>
      <c r="S168" s="70"/>
      <c r="T168" s="70"/>
      <c r="U168" s="230"/>
      <c r="V168" s="217"/>
    </row>
    <row r="169" spans="2:22" ht="15.75" x14ac:dyDescent="0.25">
      <c r="B169" s="256"/>
      <c r="C169" s="235"/>
      <c r="D169" s="70"/>
      <c r="E169" s="70"/>
      <c r="F169" s="222"/>
      <c r="G169" s="240"/>
      <c r="H169" s="233"/>
      <c r="I169" s="70"/>
      <c r="J169" s="70"/>
      <c r="K169" s="230"/>
      <c r="L169" s="217"/>
      <c r="M169" s="233"/>
      <c r="N169" s="70"/>
      <c r="O169" s="70"/>
      <c r="P169" s="230"/>
      <c r="Q169" s="217"/>
      <c r="R169" s="233"/>
      <c r="S169" s="70"/>
      <c r="T169" s="70"/>
      <c r="U169" s="230"/>
      <c r="V169" s="217"/>
    </row>
    <row r="170" spans="2:22" ht="15.75" x14ac:dyDescent="0.25">
      <c r="B170" s="256"/>
      <c r="C170" s="235"/>
      <c r="D170" s="70"/>
      <c r="E170" s="70"/>
      <c r="F170" s="222"/>
      <c r="G170" s="240"/>
      <c r="H170" s="233"/>
      <c r="I170" s="70"/>
      <c r="J170" s="70"/>
      <c r="K170" s="230"/>
      <c r="L170" s="217"/>
      <c r="M170" s="233"/>
      <c r="N170" s="70"/>
      <c r="O170" s="70"/>
      <c r="P170" s="230"/>
      <c r="Q170" s="217"/>
      <c r="R170" s="233"/>
      <c r="S170" s="70"/>
      <c r="T170" s="70"/>
      <c r="U170" s="230"/>
      <c r="V170" s="217"/>
    </row>
    <row r="171" spans="2:22" ht="16.5" thickBot="1" x14ac:dyDescent="0.3">
      <c r="B171" s="256"/>
      <c r="C171" s="245"/>
      <c r="D171" s="185"/>
      <c r="E171" s="185"/>
      <c r="F171" s="223"/>
      <c r="G171" s="241"/>
      <c r="H171" s="234"/>
      <c r="I171" s="185"/>
      <c r="J171" s="185"/>
      <c r="K171" s="231"/>
      <c r="L171" s="218"/>
      <c r="M171" s="234"/>
      <c r="N171" s="185"/>
      <c r="O171" s="185"/>
      <c r="P171" s="231"/>
      <c r="Q171" s="218"/>
      <c r="R171" s="234"/>
      <c r="S171" s="185"/>
      <c r="T171" s="185"/>
      <c r="U171" s="231"/>
      <c r="V171" s="218"/>
    </row>
    <row r="172" spans="2:22" ht="16.5" thickTop="1" x14ac:dyDescent="0.25">
      <c r="B172" s="256"/>
      <c r="C172" s="244"/>
      <c r="D172" s="186"/>
      <c r="E172" s="186"/>
      <c r="F172" s="224">
        <f t="shared" ref="F172" si="180">COUNT(D172:D177)</f>
        <v>0</v>
      </c>
      <c r="G172" s="239">
        <f t="shared" ref="G172" si="181">SUMPRODUCT(D172:D177,E172:E177)</f>
        <v>0</v>
      </c>
      <c r="H172" s="232"/>
      <c r="I172" s="186"/>
      <c r="J172" s="186"/>
      <c r="K172" s="229">
        <f>COUNT(I172:I177)</f>
        <v>0</v>
      </c>
      <c r="L172" s="216">
        <f t="shared" ref="L172" si="182">SUMPRODUCT(I172:I177,J172:J177)</f>
        <v>0</v>
      </c>
      <c r="M172" s="232"/>
      <c r="N172" s="186"/>
      <c r="O172" s="186"/>
      <c r="P172" s="229">
        <f t="shared" ref="P172" si="183">COUNT(N172:N177)</f>
        <v>0</v>
      </c>
      <c r="Q172" s="216">
        <f t="shared" ref="Q172" si="184">SUMPRODUCT(N172:N177,O172:O177)</f>
        <v>0</v>
      </c>
      <c r="R172" s="232"/>
      <c r="S172" s="186"/>
      <c r="T172" s="186"/>
      <c r="U172" s="229">
        <f t="shared" ref="U172" si="185">COUNT(S172:S177)</f>
        <v>0</v>
      </c>
      <c r="V172" s="216">
        <f t="shared" ref="V172" si="186">SUMPRODUCT(S172:S177,T172:T177)</f>
        <v>0</v>
      </c>
    </row>
    <row r="173" spans="2:22" ht="15.75" x14ac:dyDescent="0.25">
      <c r="B173" s="256"/>
      <c r="C173" s="235"/>
      <c r="D173" s="70"/>
      <c r="E173" s="70"/>
      <c r="F173" s="222"/>
      <c r="G173" s="240"/>
      <c r="H173" s="233"/>
      <c r="I173" s="70"/>
      <c r="J173" s="70"/>
      <c r="K173" s="230"/>
      <c r="L173" s="217"/>
      <c r="M173" s="233"/>
      <c r="N173" s="70"/>
      <c r="O173" s="70"/>
      <c r="P173" s="230"/>
      <c r="Q173" s="217"/>
      <c r="R173" s="233"/>
      <c r="S173" s="70"/>
      <c r="T173" s="70"/>
      <c r="U173" s="230"/>
      <c r="V173" s="217"/>
    </row>
    <row r="174" spans="2:22" ht="15.75" x14ac:dyDescent="0.25">
      <c r="B174" s="256"/>
      <c r="C174" s="235"/>
      <c r="D174" s="70"/>
      <c r="E174" s="70"/>
      <c r="F174" s="222"/>
      <c r="G174" s="240"/>
      <c r="H174" s="233"/>
      <c r="I174" s="70"/>
      <c r="J174" s="70"/>
      <c r="K174" s="230"/>
      <c r="L174" s="217"/>
      <c r="M174" s="233"/>
      <c r="N174" s="70"/>
      <c r="O174" s="70"/>
      <c r="P174" s="230"/>
      <c r="Q174" s="217"/>
      <c r="R174" s="233"/>
      <c r="S174" s="70"/>
      <c r="T174" s="70"/>
      <c r="U174" s="230"/>
      <c r="V174" s="217"/>
    </row>
    <row r="175" spans="2:22" ht="15.75" x14ac:dyDescent="0.25">
      <c r="B175" s="256"/>
      <c r="C175" s="235"/>
      <c r="D175" s="70"/>
      <c r="E175" s="70"/>
      <c r="F175" s="222"/>
      <c r="G175" s="240"/>
      <c r="H175" s="233"/>
      <c r="I175" s="70"/>
      <c r="J175" s="70"/>
      <c r="K175" s="230"/>
      <c r="L175" s="217"/>
      <c r="M175" s="233"/>
      <c r="N175" s="70"/>
      <c r="O175" s="70"/>
      <c r="P175" s="230"/>
      <c r="Q175" s="217"/>
      <c r="R175" s="233"/>
      <c r="S175" s="70"/>
      <c r="T175" s="70"/>
      <c r="U175" s="230"/>
      <c r="V175" s="217"/>
    </row>
    <row r="176" spans="2:22" ht="15.75" x14ac:dyDescent="0.25">
      <c r="B176" s="256"/>
      <c r="C176" s="235"/>
      <c r="D176" s="70"/>
      <c r="E176" s="70"/>
      <c r="F176" s="222"/>
      <c r="G176" s="240"/>
      <c r="H176" s="233"/>
      <c r="I176" s="70"/>
      <c r="J176" s="70"/>
      <c r="K176" s="230"/>
      <c r="L176" s="217"/>
      <c r="M176" s="233"/>
      <c r="N176" s="70"/>
      <c r="O176" s="70"/>
      <c r="P176" s="230"/>
      <c r="Q176" s="217"/>
      <c r="R176" s="233"/>
      <c r="S176" s="70"/>
      <c r="T176" s="70"/>
      <c r="U176" s="230"/>
      <c r="V176" s="217"/>
    </row>
    <row r="177" spans="2:22" ht="16.5" thickBot="1" x14ac:dyDescent="0.3">
      <c r="B177" s="256"/>
      <c r="C177" s="245"/>
      <c r="D177" s="185"/>
      <c r="E177" s="185"/>
      <c r="F177" s="223"/>
      <c r="G177" s="241"/>
      <c r="H177" s="234"/>
      <c r="I177" s="185"/>
      <c r="J177" s="185"/>
      <c r="K177" s="231"/>
      <c r="L177" s="218"/>
      <c r="M177" s="234"/>
      <c r="N177" s="185"/>
      <c r="O177" s="185"/>
      <c r="P177" s="231"/>
      <c r="Q177" s="218"/>
      <c r="R177" s="234"/>
      <c r="S177" s="185"/>
      <c r="T177" s="185"/>
      <c r="U177" s="231"/>
      <c r="V177" s="218"/>
    </row>
    <row r="178" spans="2:22" ht="16.5" thickTop="1" x14ac:dyDescent="0.25">
      <c r="B178" s="256"/>
      <c r="C178" s="235"/>
      <c r="D178" s="70"/>
      <c r="E178" s="70"/>
      <c r="F178" s="222">
        <f t="shared" ref="F178" si="187">COUNT(D178:D183)</f>
        <v>0</v>
      </c>
      <c r="G178" s="240">
        <f t="shared" ref="G178" si="188">SUMPRODUCT(D178:D183,E178:E183)</f>
        <v>0</v>
      </c>
      <c r="H178" s="235"/>
      <c r="I178" s="70"/>
      <c r="J178" s="70"/>
      <c r="K178" s="222">
        <f>COUNT(I178:I183)</f>
        <v>0</v>
      </c>
      <c r="L178" s="219">
        <f t="shared" ref="L178" si="189">SUMPRODUCT(I178:I183,J178:J183)</f>
        <v>0</v>
      </c>
      <c r="M178" s="235"/>
      <c r="N178" s="70"/>
      <c r="O178" s="70"/>
      <c r="P178" s="222">
        <f t="shared" ref="P178" si="190">COUNT(N178:N183)</f>
        <v>0</v>
      </c>
      <c r="Q178" s="219">
        <f t="shared" ref="Q178" si="191">SUMPRODUCT(N178:N183,O178:O183)</f>
        <v>0</v>
      </c>
      <c r="R178" s="227"/>
      <c r="S178" s="70"/>
      <c r="T178" s="70"/>
      <c r="U178" s="222">
        <f t="shared" ref="U178" si="192">COUNT(S178:S183)</f>
        <v>0</v>
      </c>
      <c r="V178" s="219">
        <f t="shared" ref="V178" si="193">SUMPRODUCT(S178:S183,T178:T183)</f>
        <v>0</v>
      </c>
    </row>
    <row r="179" spans="2:22" ht="15.75" x14ac:dyDescent="0.25">
      <c r="B179" s="256"/>
      <c r="C179" s="235"/>
      <c r="D179" s="70"/>
      <c r="E179" s="70"/>
      <c r="F179" s="222"/>
      <c r="G179" s="240"/>
      <c r="H179" s="235"/>
      <c r="I179" s="70"/>
      <c r="J179" s="70"/>
      <c r="K179" s="222"/>
      <c r="L179" s="219"/>
      <c r="M179" s="235"/>
      <c r="N179" s="70"/>
      <c r="O179" s="70"/>
      <c r="P179" s="222"/>
      <c r="Q179" s="219"/>
      <c r="R179" s="227"/>
      <c r="S179" s="70"/>
      <c r="T179" s="70"/>
      <c r="U179" s="222"/>
      <c r="V179" s="219"/>
    </row>
    <row r="180" spans="2:22" ht="15.75" x14ac:dyDescent="0.25">
      <c r="B180" s="256"/>
      <c r="C180" s="235"/>
      <c r="D180" s="70"/>
      <c r="E180" s="70"/>
      <c r="F180" s="222"/>
      <c r="G180" s="240"/>
      <c r="H180" s="235"/>
      <c r="I180" s="70"/>
      <c r="J180" s="70"/>
      <c r="K180" s="222"/>
      <c r="L180" s="219"/>
      <c r="M180" s="235"/>
      <c r="N180" s="70"/>
      <c r="O180" s="70"/>
      <c r="P180" s="222"/>
      <c r="Q180" s="219"/>
      <c r="R180" s="227"/>
      <c r="S180" s="70"/>
      <c r="T180" s="70"/>
      <c r="U180" s="222"/>
      <c r="V180" s="219"/>
    </row>
    <row r="181" spans="2:22" ht="15.75" x14ac:dyDescent="0.25">
      <c r="B181" s="256"/>
      <c r="C181" s="235"/>
      <c r="D181" s="70"/>
      <c r="E181" s="70"/>
      <c r="F181" s="222"/>
      <c r="G181" s="240"/>
      <c r="H181" s="235"/>
      <c r="I181" s="70"/>
      <c r="J181" s="70"/>
      <c r="K181" s="222"/>
      <c r="L181" s="219"/>
      <c r="M181" s="235"/>
      <c r="N181" s="70"/>
      <c r="O181" s="70"/>
      <c r="P181" s="222"/>
      <c r="Q181" s="219"/>
      <c r="R181" s="227"/>
      <c r="S181" s="70"/>
      <c r="T181" s="70"/>
      <c r="U181" s="222"/>
      <c r="V181" s="219"/>
    </row>
    <row r="182" spans="2:22" ht="15.75" x14ac:dyDescent="0.25">
      <c r="B182" s="256"/>
      <c r="C182" s="235"/>
      <c r="D182" s="70"/>
      <c r="E182" s="70"/>
      <c r="F182" s="222"/>
      <c r="G182" s="240"/>
      <c r="H182" s="235"/>
      <c r="I182" s="70"/>
      <c r="J182" s="70"/>
      <c r="K182" s="222"/>
      <c r="L182" s="219"/>
      <c r="M182" s="235"/>
      <c r="N182" s="70"/>
      <c r="O182" s="70"/>
      <c r="P182" s="222"/>
      <c r="Q182" s="219"/>
      <c r="R182" s="227"/>
      <c r="S182" s="70"/>
      <c r="T182" s="70"/>
      <c r="U182" s="222"/>
      <c r="V182" s="219"/>
    </row>
    <row r="183" spans="2:22" ht="16.5" thickBot="1" x14ac:dyDescent="0.3">
      <c r="B183" s="257"/>
      <c r="C183" s="238"/>
      <c r="D183" s="71"/>
      <c r="E183" s="71"/>
      <c r="F183" s="236"/>
      <c r="G183" s="242"/>
      <c r="H183" s="238"/>
      <c r="I183" s="71"/>
      <c r="J183" s="71"/>
      <c r="K183" s="236"/>
      <c r="L183" s="220"/>
      <c r="M183" s="238"/>
      <c r="N183" s="71"/>
      <c r="O183" s="71"/>
      <c r="P183" s="236"/>
      <c r="Q183" s="220"/>
      <c r="R183" s="228"/>
      <c r="S183" s="71"/>
      <c r="T183" s="71"/>
      <c r="U183" s="236"/>
      <c r="V183" s="220"/>
    </row>
    <row r="184" spans="2:22" ht="15.75" x14ac:dyDescent="0.25">
      <c r="B184" s="254" t="s">
        <v>168</v>
      </c>
      <c r="C184" s="246"/>
      <c r="D184" s="73"/>
      <c r="E184" s="73"/>
      <c r="F184" s="221">
        <f t="shared" ref="F184" si="194">COUNT(D184:D189)</f>
        <v>0</v>
      </c>
      <c r="G184" s="248">
        <f t="shared" ref="G184" si="195">SUMPRODUCT(D184:D189,E184:E189)</f>
        <v>0</v>
      </c>
      <c r="H184" s="246"/>
      <c r="I184" s="73"/>
      <c r="J184" s="73"/>
      <c r="K184" s="221">
        <f>COUNT(I184:I189)</f>
        <v>0</v>
      </c>
      <c r="L184" s="225">
        <f t="shared" ref="L184" si="196">SUMPRODUCT(I184:I189,J184:J189)</f>
        <v>0</v>
      </c>
      <c r="M184" s="246"/>
      <c r="N184" s="73"/>
      <c r="O184" s="73"/>
      <c r="P184" s="221">
        <f t="shared" ref="P184" si="197">COUNT(N184:N189)</f>
        <v>0</v>
      </c>
      <c r="Q184" s="225">
        <f t="shared" ref="Q184" si="198">SUMPRODUCT(N184:N189,O184:O189)</f>
        <v>0</v>
      </c>
      <c r="R184" s="247"/>
      <c r="S184" s="73"/>
      <c r="T184" s="73"/>
      <c r="U184" s="221">
        <f t="shared" ref="U184" si="199">COUNT(S184:S189)</f>
        <v>0</v>
      </c>
      <c r="V184" s="225">
        <f t="shared" ref="V184" si="200">SUMPRODUCT(S184:S189,T184:T189)</f>
        <v>0</v>
      </c>
    </row>
    <row r="185" spans="2:22" ht="15.75" x14ac:dyDescent="0.25">
      <c r="B185" s="256"/>
      <c r="C185" s="235"/>
      <c r="D185" s="70"/>
      <c r="E185" s="70"/>
      <c r="F185" s="222"/>
      <c r="G185" s="240"/>
      <c r="H185" s="235"/>
      <c r="I185" s="70"/>
      <c r="J185" s="70"/>
      <c r="K185" s="222"/>
      <c r="L185" s="219"/>
      <c r="M185" s="235"/>
      <c r="N185" s="70"/>
      <c r="O185" s="70"/>
      <c r="P185" s="222"/>
      <c r="Q185" s="219"/>
      <c r="R185" s="227"/>
      <c r="S185" s="70"/>
      <c r="T185" s="70"/>
      <c r="U185" s="222"/>
      <c r="V185" s="219"/>
    </row>
    <row r="186" spans="2:22" ht="15.75" x14ac:dyDescent="0.25">
      <c r="B186" s="256"/>
      <c r="C186" s="235"/>
      <c r="D186" s="70"/>
      <c r="E186" s="70"/>
      <c r="F186" s="222"/>
      <c r="G186" s="240"/>
      <c r="H186" s="235"/>
      <c r="I186" s="70"/>
      <c r="J186" s="70"/>
      <c r="K186" s="222"/>
      <c r="L186" s="219"/>
      <c r="M186" s="235"/>
      <c r="N186" s="70"/>
      <c r="O186" s="70"/>
      <c r="P186" s="222"/>
      <c r="Q186" s="219"/>
      <c r="R186" s="227"/>
      <c r="S186" s="70"/>
      <c r="T186" s="70"/>
      <c r="U186" s="222"/>
      <c r="V186" s="219"/>
    </row>
    <row r="187" spans="2:22" ht="15.75" x14ac:dyDescent="0.25">
      <c r="B187" s="256"/>
      <c r="C187" s="235"/>
      <c r="D187" s="70"/>
      <c r="E187" s="70"/>
      <c r="F187" s="222"/>
      <c r="G187" s="240"/>
      <c r="H187" s="235"/>
      <c r="I187" s="70"/>
      <c r="J187" s="70"/>
      <c r="K187" s="222"/>
      <c r="L187" s="219"/>
      <c r="M187" s="235"/>
      <c r="N187" s="70"/>
      <c r="O187" s="70"/>
      <c r="P187" s="222"/>
      <c r="Q187" s="219"/>
      <c r="R187" s="227"/>
      <c r="S187" s="70"/>
      <c r="T187" s="70"/>
      <c r="U187" s="222"/>
      <c r="V187" s="219"/>
    </row>
    <row r="188" spans="2:22" ht="15.75" x14ac:dyDescent="0.25">
      <c r="B188" s="256"/>
      <c r="C188" s="235"/>
      <c r="D188" s="70"/>
      <c r="E188" s="70"/>
      <c r="F188" s="222"/>
      <c r="G188" s="240"/>
      <c r="H188" s="235"/>
      <c r="I188" s="70"/>
      <c r="J188" s="70"/>
      <c r="K188" s="222"/>
      <c r="L188" s="219"/>
      <c r="M188" s="235"/>
      <c r="N188" s="70"/>
      <c r="O188" s="70"/>
      <c r="P188" s="222"/>
      <c r="Q188" s="219"/>
      <c r="R188" s="227"/>
      <c r="S188" s="70"/>
      <c r="T188" s="70"/>
      <c r="U188" s="222"/>
      <c r="V188" s="219"/>
    </row>
    <row r="189" spans="2:22" ht="16.5" thickBot="1" x14ac:dyDescent="0.3">
      <c r="B189" s="256"/>
      <c r="C189" s="235"/>
      <c r="D189" s="70"/>
      <c r="E189" s="70"/>
      <c r="F189" s="222"/>
      <c r="G189" s="240"/>
      <c r="H189" s="235"/>
      <c r="I189" s="70"/>
      <c r="J189" s="70"/>
      <c r="K189" s="222"/>
      <c r="L189" s="219"/>
      <c r="M189" s="235"/>
      <c r="N189" s="70"/>
      <c r="O189" s="70"/>
      <c r="P189" s="222"/>
      <c r="Q189" s="219"/>
      <c r="R189" s="227"/>
      <c r="S189" s="70"/>
      <c r="T189" s="70"/>
      <c r="U189" s="222"/>
      <c r="V189" s="219"/>
    </row>
    <row r="190" spans="2:22" ht="16.5" thickTop="1" x14ac:dyDescent="0.25">
      <c r="B190" s="256"/>
      <c r="C190" s="244"/>
      <c r="D190" s="186"/>
      <c r="E190" s="186"/>
      <c r="F190" s="224">
        <f t="shared" ref="F190" si="201">COUNT(D190:D195)</f>
        <v>0</v>
      </c>
      <c r="G190" s="239">
        <f t="shared" ref="G190" si="202">SUMPRODUCT(D190:D195,E190:E195)</f>
        <v>0</v>
      </c>
      <c r="H190" s="232"/>
      <c r="I190" s="186"/>
      <c r="J190" s="186"/>
      <c r="K190" s="229">
        <f>COUNT(I190:I195)</f>
        <v>0</v>
      </c>
      <c r="L190" s="216">
        <f t="shared" ref="L190" si="203">SUMPRODUCT(I190:I195,J190:J195)</f>
        <v>0</v>
      </c>
      <c r="M190" s="232"/>
      <c r="N190" s="186"/>
      <c r="O190" s="186"/>
      <c r="P190" s="229">
        <f t="shared" ref="P190" si="204">COUNT(N190:N195)</f>
        <v>0</v>
      </c>
      <c r="Q190" s="216">
        <f t="shared" ref="Q190" si="205">SUMPRODUCT(N190:N195,O190:O195)</f>
        <v>0</v>
      </c>
      <c r="R190" s="232"/>
      <c r="S190" s="186"/>
      <c r="T190" s="186"/>
      <c r="U190" s="229">
        <f t="shared" ref="U190" si="206">COUNT(S190:S195)</f>
        <v>0</v>
      </c>
      <c r="V190" s="216">
        <f t="shared" ref="V190" si="207">SUMPRODUCT(S190:S195,T190:T195)</f>
        <v>0</v>
      </c>
    </row>
    <row r="191" spans="2:22" ht="15.75" x14ac:dyDescent="0.25">
      <c r="B191" s="256"/>
      <c r="C191" s="235"/>
      <c r="D191" s="70"/>
      <c r="E191" s="70"/>
      <c r="F191" s="222"/>
      <c r="G191" s="240"/>
      <c r="H191" s="233"/>
      <c r="I191" s="70"/>
      <c r="J191" s="70"/>
      <c r="K191" s="230"/>
      <c r="L191" s="217"/>
      <c r="M191" s="233"/>
      <c r="N191" s="70"/>
      <c r="O191" s="70"/>
      <c r="P191" s="230"/>
      <c r="Q191" s="217"/>
      <c r="R191" s="233"/>
      <c r="S191" s="70"/>
      <c r="T191" s="70"/>
      <c r="U191" s="230"/>
      <c r="V191" s="217"/>
    </row>
    <row r="192" spans="2:22" ht="15.75" x14ac:dyDescent="0.25">
      <c r="B192" s="256"/>
      <c r="C192" s="235"/>
      <c r="D192" s="70"/>
      <c r="E192" s="70"/>
      <c r="F192" s="222"/>
      <c r="G192" s="240"/>
      <c r="H192" s="233"/>
      <c r="I192" s="70"/>
      <c r="J192" s="70"/>
      <c r="K192" s="230"/>
      <c r="L192" s="217"/>
      <c r="M192" s="233"/>
      <c r="N192" s="70"/>
      <c r="O192" s="70"/>
      <c r="P192" s="230"/>
      <c r="Q192" s="217"/>
      <c r="R192" s="233"/>
      <c r="S192" s="70"/>
      <c r="T192" s="70"/>
      <c r="U192" s="230"/>
      <c r="V192" s="217"/>
    </row>
    <row r="193" spans="2:22" ht="15.75" x14ac:dyDescent="0.25">
      <c r="B193" s="256"/>
      <c r="C193" s="235"/>
      <c r="D193" s="70"/>
      <c r="E193" s="70"/>
      <c r="F193" s="222"/>
      <c r="G193" s="240"/>
      <c r="H193" s="233"/>
      <c r="I193" s="70"/>
      <c r="J193" s="70"/>
      <c r="K193" s="230"/>
      <c r="L193" s="217"/>
      <c r="M193" s="233"/>
      <c r="N193" s="70"/>
      <c r="O193" s="70"/>
      <c r="P193" s="230"/>
      <c r="Q193" s="217"/>
      <c r="R193" s="233"/>
      <c r="S193" s="70"/>
      <c r="T193" s="70"/>
      <c r="U193" s="230"/>
      <c r="V193" s="217"/>
    </row>
    <row r="194" spans="2:22" ht="15.75" x14ac:dyDescent="0.25">
      <c r="B194" s="256"/>
      <c r="C194" s="235"/>
      <c r="D194" s="70"/>
      <c r="E194" s="70"/>
      <c r="F194" s="222"/>
      <c r="G194" s="240"/>
      <c r="H194" s="233"/>
      <c r="I194" s="70"/>
      <c r="J194" s="70"/>
      <c r="K194" s="230"/>
      <c r="L194" s="217"/>
      <c r="M194" s="233"/>
      <c r="N194" s="70"/>
      <c r="O194" s="70"/>
      <c r="P194" s="230"/>
      <c r="Q194" s="217"/>
      <c r="R194" s="233"/>
      <c r="S194" s="70"/>
      <c r="T194" s="70"/>
      <c r="U194" s="230"/>
      <c r="V194" s="217"/>
    </row>
    <row r="195" spans="2:22" ht="16.5" thickBot="1" x14ac:dyDescent="0.3">
      <c r="B195" s="256"/>
      <c r="C195" s="245"/>
      <c r="D195" s="185"/>
      <c r="E195" s="185"/>
      <c r="F195" s="223"/>
      <c r="G195" s="241"/>
      <c r="H195" s="234"/>
      <c r="I195" s="185"/>
      <c r="J195" s="185"/>
      <c r="K195" s="231"/>
      <c r="L195" s="218"/>
      <c r="M195" s="234"/>
      <c r="N195" s="185"/>
      <c r="O195" s="185"/>
      <c r="P195" s="231"/>
      <c r="Q195" s="218"/>
      <c r="R195" s="234"/>
      <c r="S195" s="185"/>
      <c r="T195" s="185"/>
      <c r="U195" s="231"/>
      <c r="V195" s="218"/>
    </row>
    <row r="196" spans="2:22" ht="16.5" thickTop="1" x14ac:dyDescent="0.25">
      <c r="B196" s="256"/>
      <c r="C196" s="235"/>
      <c r="D196" s="70"/>
      <c r="E196" s="70"/>
      <c r="F196" s="222">
        <f t="shared" ref="F196" si="208">COUNT(D196:D201)</f>
        <v>0</v>
      </c>
      <c r="G196" s="240">
        <f t="shared" ref="G196" si="209">SUMPRODUCT(D196:D201,E196:E201)</f>
        <v>0</v>
      </c>
      <c r="H196" s="235"/>
      <c r="I196" s="70"/>
      <c r="J196" s="70"/>
      <c r="K196" s="222">
        <f>COUNT(I196:I201)</f>
        <v>0</v>
      </c>
      <c r="L196" s="219">
        <f t="shared" ref="L196" si="210">SUMPRODUCT(I196:I201,J196:J201)</f>
        <v>0</v>
      </c>
      <c r="M196" s="235"/>
      <c r="N196" s="70"/>
      <c r="O196" s="70"/>
      <c r="P196" s="222">
        <f t="shared" ref="P196" si="211">COUNT(N196:N201)</f>
        <v>0</v>
      </c>
      <c r="Q196" s="219">
        <f t="shared" ref="Q196" si="212">SUMPRODUCT(N196:N201,O196:O201)</f>
        <v>0</v>
      </c>
      <c r="R196" s="227"/>
      <c r="S196" s="70"/>
      <c r="T196" s="70"/>
      <c r="U196" s="222">
        <f t="shared" ref="U196" si="213">COUNT(S196:S201)</f>
        <v>0</v>
      </c>
      <c r="V196" s="219">
        <f t="shared" ref="V196" si="214">SUMPRODUCT(S196:S201,T196:T201)</f>
        <v>0</v>
      </c>
    </row>
    <row r="197" spans="2:22" ht="15.75" x14ac:dyDescent="0.25">
      <c r="B197" s="256"/>
      <c r="C197" s="235"/>
      <c r="D197" s="70"/>
      <c r="E197" s="70"/>
      <c r="F197" s="222"/>
      <c r="G197" s="240"/>
      <c r="H197" s="235"/>
      <c r="I197" s="70"/>
      <c r="J197" s="70"/>
      <c r="K197" s="222"/>
      <c r="L197" s="219"/>
      <c r="M197" s="235"/>
      <c r="N197" s="70"/>
      <c r="O197" s="70"/>
      <c r="P197" s="222"/>
      <c r="Q197" s="219"/>
      <c r="R197" s="227"/>
      <c r="S197" s="70"/>
      <c r="T197" s="70"/>
      <c r="U197" s="222"/>
      <c r="V197" s="219"/>
    </row>
    <row r="198" spans="2:22" ht="15.75" x14ac:dyDescent="0.25">
      <c r="B198" s="256"/>
      <c r="C198" s="235"/>
      <c r="D198" s="70"/>
      <c r="E198" s="70"/>
      <c r="F198" s="222"/>
      <c r="G198" s="240"/>
      <c r="H198" s="235"/>
      <c r="I198" s="70"/>
      <c r="J198" s="70"/>
      <c r="K198" s="222"/>
      <c r="L198" s="219"/>
      <c r="M198" s="235"/>
      <c r="N198" s="70"/>
      <c r="O198" s="70"/>
      <c r="P198" s="222"/>
      <c r="Q198" s="219"/>
      <c r="R198" s="227"/>
      <c r="S198" s="70"/>
      <c r="T198" s="70"/>
      <c r="U198" s="222"/>
      <c r="V198" s="219"/>
    </row>
    <row r="199" spans="2:22" ht="15.75" x14ac:dyDescent="0.25">
      <c r="B199" s="256"/>
      <c r="C199" s="235"/>
      <c r="D199" s="70"/>
      <c r="E199" s="70"/>
      <c r="F199" s="222"/>
      <c r="G199" s="240"/>
      <c r="H199" s="235"/>
      <c r="I199" s="70"/>
      <c r="J199" s="70"/>
      <c r="K199" s="222"/>
      <c r="L199" s="219"/>
      <c r="M199" s="235"/>
      <c r="N199" s="70"/>
      <c r="O199" s="70"/>
      <c r="P199" s="222"/>
      <c r="Q199" s="219"/>
      <c r="R199" s="227"/>
      <c r="S199" s="70"/>
      <c r="T199" s="70"/>
      <c r="U199" s="222"/>
      <c r="V199" s="219"/>
    </row>
    <row r="200" spans="2:22" ht="15.75" x14ac:dyDescent="0.25">
      <c r="B200" s="256"/>
      <c r="C200" s="235"/>
      <c r="D200" s="70"/>
      <c r="E200" s="70"/>
      <c r="F200" s="222"/>
      <c r="G200" s="240"/>
      <c r="H200" s="235"/>
      <c r="I200" s="70"/>
      <c r="J200" s="70"/>
      <c r="K200" s="222"/>
      <c r="L200" s="219"/>
      <c r="M200" s="235"/>
      <c r="N200" s="70"/>
      <c r="O200" s="70"/>
      <c r="P200" s="222"/>
      <c r="Q200" s="219"/>
      <c r="R200" s="227"/>
      <c r="S200" s="70"/>
      <c r="T200" s="70"/>
      <c r="U200" s="222"/>
      <c r="V200" s="219"/>
    </row>
    <row r="201" spans="2:22" ht="16.5" thickBot="1" x14ac:dyDescent="0.3">
      <c r="B201" s="256"/>
      <c r="C201" s="235"/>
      <c r="D201" s="70"/>
      <c r="E201" s="70"/>
      <c r="F201" s="222"/>
      <c r="G201" s="240"/>
      <c r="H201" s="235"/>
      <c r="I201" s="70"/>
      <c r="J201" s="70"/>
      <c r="K201" s="222"/>
      <c r="L201" s="219"/>
      <c r="M201" s="235"/>
      <c r="N201" s="70"/>
      <c r="O201" s="70"/>
      <c r="P201" s="222"/>
      <c r="Q201" s="219"/>
      <c r="R201" s="227"/>
      <c r="S201" s="70"/>
      <c r="T201" s="70"/>
      <c r="U201" s="222"/>
      <c r="V201" s="219"/>
    </row>
    <row r="202" spans="2:22" ht="16.5" thickTop="1" x14ac:dyDescent="0.25">
      <c r="B202" s="256"/>
      <c r="C202" s="244"/>
      <c r="D202" s="186"/>
      <c r="E202" s="186"/>
      <c r="F202" s="224">
        <f t="shared" ref="F202" si="215">COUNT(D202:D207)</f>
        <v>0</v>
      </c>
      <c r="G202" s="239">
        <f t="shared" ref="G202" si="216">SUMPRODUCT(D202:D207,E202:E207)</f>
        <v>0</v>
      </c>
      <c r="H202" s="232"/>
      <c r="I202" s="186"/>
      <c r="J202" s="186"/>
      <c r="K202" s="229">
        <f t="shared" ref="K202" si="217">COUNT(I202:I207)</f>
        <v>0</v>
      </c>
      <c r="L202" s="216">
        <f t="shared" ref="L202" si="218">SUMPRODUCT(I202:I207,J202:J207)</f>
        <v>0</v>
      </c>
      <c r="M202" s="232"/>
      <c r="N202" s="186"/>
      <c r="O202" s="186"/>
      <c r="P202" s="229">
        <f t="shared" ref="P202" si="219">COUNT(N202:N207)</f>
        <v>0</v>
      </c>
      <c r="Q202" s="216">
        <f t="shared" ref="Q202" si="220">SUMPRODUCT(N202:N207,O202:O207)</f>
        <v>0</v>
      </c>
      <c r="R202" s="232"/>
      <c r="S202" s="186"/>
      <c r="T202" s="186"/>
      <c r="U202" s="229">
        <f t="shared" ref="U202" si="221">COUNT(S202:S207)</f>
        <v>0</v>
      </c>
      <c r="V202" s="216">
        <f t="shared" ref="V202" si="222">SUMPRODUCT(S202:S207,T202:T207)</f>
        <v>0</v>
      </c>
    </row>
    <row r="203" spans="2:22" ht="15.75" x14ac:dyDescent="0.25">
      <c r="B203" s="256"/>
      <c r="C203" s="235"/>
      <c r="D203" s="70"/>
      <c r="E203" s="70"/>
      <c r="F203" s="222"/>
      <c r="G203" s="240"/>
      <c r="H203" s="233"/>
      <c r="I203" s="70"/>
      <c r="J203" s="70"/>
      <c r="K203" s="230"/>
      <c r="L203" s="217"/>
      <c r="M203" s="233"/>
      <c r="N203" s="70"/>
      <c r="O203" s="70"/>
      <c r="P203" s="230"/>
      <c r="Q203" s="217"/>
      <c r="R203" s="233"/>
      <c r="S203" s="70"/>
      <c r="T203" s="70"/>
      <c r="U203" s="230"/>
      <c r="V203" s="217"/>
    </row>
    <row r="204" spans="2:22" ht="15.75" x14ac:dyDescent="0.25">
      <c r="B204" s="256"/>
      <c r="C204" s="235"/>
      <c r="D204" s="70"/>
      <c r="E204" s="70"/>
      <c r="F204" s="222"/>
      <c r="G204" s="240"/>
      <c r="H204" s="233"/>
      <c r="I204" s="70"/>
      <c r="J204" s="70"/>
      <c r="K204" s="230"/>
      <c r="L204" s="217"/>
      <c r="M204" s="233"/>
      <c r="N204" s="70"/>
      <c r="O204" s="70"/>
      <c r="P204" s="230"/>
      <c r="Q204" s="217"/>
      <c r="R204" s="233"/>
      <c r="S204" s="70"/>
      <c r="T204" s="70"/>
      <c r="U204" s="230"/>
      <c r="V204" s="217"/>
    </row>
    <row r="205" spans="2:22" ht="15.75" x14ac:dyDescent="0.25">
      <c r="B205" s="256"/>
      <c r="C205" s="235"/>
      <c r="D205" s="70"/>
      <c r="E205" s="70"/>
      <c r="F205" s="222"/>
      <c r="G205" s="240"/>
      <c r="H205" s="233"/>
      <c r="I205" s="70"/>
      <c r="J205" s="70"/>
      <c r="K205" s="230"/>
      <c r="L205" s="217"/>
      <c r="M205" s="233"/>
      <c r="N205" s="70"/>
      <c r="O205" s="70"/>
      <c r="P205" s="230"/>
      <c r="Q205" s="217"/>
      <c r="R205" s="233"/>
      <c r="S205" s="70"/>
      <c r="T205" s="70"/>
      <c r="U205" s="230"/>
      <c r="V205" s="217"/>
    </row>
    <row r="206" spans="2:22" ht="15.75" x14ac:dyDescent="0.25">
      <c r="B206" s="256"/>
      <c r="C206" s="235"/>
      <c r="D206" s="70"/>
      <c r="E206" s="70"/>
      <c r="F206" s="222"/>
      <c r="G206" s="240"/>
      <c r="H206" s="233"/>
      <c r="I206" s="70"/>
      <c r="J206" s="70"/>
      <c r="K206" s="230"/>
      <c r="L206" s="217"/>
      <c r="M206" s="233"/>
      <c r="N206" s="70"/>
      <c r="O206" s="70"/>
      <c r="P206" s="230"/>
      <c r="Q206" s="217"/>
      <c r="R206" s="233"/>
      <c r="S206" s="70"/>
      <c r="T206" s="70"/>
      <c r="U206" s="230"/>
      <c r="V206" s="217"/>
    </row>
    <row r="207" spans="2:22" ht="16.5" thickBot="1" x14ac:dyDescent="0.3">
      <c r="B207" s="256"/>
      <c r="C207" s="245"/>
      <c r="D207" s="185"/>
      <c r="E207" s="185"/>
      <c r="F207" s="223"/>
      <c r="G207" s="241"/>
      <c r="H207" s="234"/>
      <c r="I207" s="185"/>
      <c r="J207" s="185"/>
      <c r="K207" s="231"/>
      <c r="L207" s="218"/>
      <c r="M207" s="234"/>
      <c r="N207" s="185"/>
      <c r="O207" s="185"/>
      <c r="P207" s="231"/>
      <c r="Q207" s="218"/>
      <c r="R207" s="234"/>
      <c r="S207" s="185"/>
      <c r="T207" s="185"/>
      <c r="U207" s="231"/>
      <c r="V207" s="218"/>
    </row>
    <row r="208" spans="2:22" ht="16.5" thickTop="1" x14ac:dyDescent="0.25">
      <c r="B208" s="256"/>
      <c r="C208" s="244"/>
      <c r="D208" s="186"/>
      <c r="E208" s="186"/>
      <c r="F208" s="224">
        <f t="shared" ref="F208" si="223">COUNT(D208:D213)</f>
        <v>0</v>
      </c>
      <c r="G208" s="239">
        <f t="shared" ref="G208" si="224">SUMPRODUCT(D208:D213,E208:E213)</f>
        <v>0</v>
      </c>
      <c r="H208" s="232"/>
      <c r="I208" s="186"/>
      <c r="J208" s="186"/>
      <c r="K208" s="229">
        <f t="shared" ref="K208" si="225">COUNT(I208:I213)</f>
        <v>0</v>
      </c>
      <c r="L208" s="216">
        <f t="shared" ref="L208" si="226">SUMPRODUCT(I208:I213,J208:J213)</f>
        <v>0</v>
      </c>
      <c r="M208" s="232"/>
      <c r="N208" s="186"/>
      <c r="O208" s="186"/>
      <c r="P208" s="229">
        <f t="shared" ref="P208" si="227">COUNT(N208:N213)</f>
        <v>0</v>
      </c>
      <c r="Q208" s="216">
        <f t="shared" ref="Q208" si="228">SUMPRODUCT(N208:N213,O208:O213)</f>
        <v>0</v>
      </c>
      <c r="R208" s="232"/>
      <c r="S208" s="186"/>
      <c r="T208" s="186"/>
      <c r="U208" s="229">
        <f t="shared" ref="U208" si="229">COUNT(S208:S213)</f>
        <v>0</v>
      </c>
      <c r="V208" s="216">
        <f t="shared" ref="V208" si="230">SUMPRODUCT(S208:S213,T208:T213)</f>
        <v>0</v>
      </c>
    </row>
    <row r="209" spans="2:22" ht="15.75" x14ac:dyDescent="0.25">
      <c r="B209" s="256"/>
      <c r="C209" s="235"/>
      <c r="D209" s="70"/>
      <c r="E209" s="70"/>
      <c r="F209" s="222"/>
      <c r="G209" s="240"/>
      <c r="H209" s="233"/>
      <c r="I209" s="70"/>
      <c r="J209" s="70"/>
      <c r="K209" s="230"/>
      <c r="L209" s="217"/>
      <c r="M209" s="233"/>
      <c r="N209" s="70"/>
      <c r="O209" s="70"/>
      <c r="P209" s="230"/>
      <c r="Q209" s="217"/>
      <c r="R209" s="233"/>
      <c r="S209" s="70"/>
      <c r="T209" s="70"/>
      <c r="U209" s="230"/>
      <c r="V209" s="217"/>
    </row>
    <row r="210" spans="2:22" ht="15.75" x14ac:dyDescent="0.25">
      <c r="B210" s="256"/>
      <c r="C210" s="235"/>
      <c r="D210" s="70"/>
      <c r="E210" s="70"/>
      <c r="F210" s="222"/>
      <c r="G210" s="240"/>
      <c r="H210" s="233"/>
      <c r="I210" s="70"/>
      <c r="J210" s="70"/>
      <c r="K210" s="230"/>
      <c r="L210" s="217"/>
      <c r="M210" s="233"/>
      <c r="N210" s="70"/>
      <c r="O210" s="70"/>
      <c r="P210" s="230"/>
      <c r="Q210" s="217"/>
      <c r="R210" s="233"/>
      <c r="S210" s="70"/>
      <c r="T210" s="70"/>
      <c r="U210" s="230"/>
      <c r="V210" s="217"/>
    </row>
    <row r="211" spans="2:22" ht="15.75" x14ac:dyDescent="0.25">
      <c r="B211" s="256"/>
      <c r="C211" s="235"/>
      <c r="D211" s="70"/>
      <c r="E211" s="70"/>
      <c r="F211" s="222"/>
      <c r="G211" s="240"/>
      <c r="H211" s="233"/>
      <c r="I211" s="70"/>
      <c r="J211" s="70"/>
      <c r="K211" s="230"/>
      <c r="L211" s="217"/>
      <c r="M211" s="233"/>
      <c r="N211" s="70"/>
      <c r="O211" s="70"/>
      <c r="P211" s="230"/>
      <c r="Q211" s="217"/>
      <c r="R211" s="233"/>
      <c r="S211" s="70"/>
      <c r="T211" s="70"/>
      <c r="U211" s="230"/>
      <c r="V211" s="217"/>
    </row>
    <row r="212" spans="2:22" ht="15.75" x14ac:dyDescent="0.25">
      <c r="B212" s="256"/>
      <c r="C212" s="235"/>
      <c r="D212" s="70"/>
      <c r="E212" s="70"/>
      <c r="F212" s="222"/>
      <c r="G212" s="240"/>
      <c r="H212" s="233"/>
      <c r="I212" s="70"/>
      <c r="J212" s="70"/>
      <c r="K212" s="230"/>
      <c r="L212" s="217"/>
      <c r="M212" s="233"/>
      <c r="N212" s="70"/>
      <c r="O212" s="70"/>
      <c r="P212" s="230"/>
      <c r="Q212" s="217"/>
      <c r="R212" s="233"/>
      <c r="S212" s="70"/>
      <c r="T212" s="70"/>
      <c r="U212" s="230"/>
      <c r="V212" s="217"/>
    </row>
    <row r="213" spans="2:22" ht="16.5" thickBot="1" x14ac:dyDescent="0.3">
      <c r="B213" s="256"/>
      <c r="C213" s="245"/>
      <c r="D213" s="185"/>
      <c r="E213" s="185"/>
      <c r="F213" s="223"/>
      <c r="G213" s="241"/>
      <c r="H213" s="234"/>
      <c r="I213" s="185"/>
      <c r="J213" s="185"/>
      <c r="K213" s="231"/>
      <c r="L213" s="218"/>
      <c r="M213" s="234"/>
      <c r="N213" s="185"/>
      <c r="O213" s="185"/>
      <c r="P213" s="231"/>
      <c r="Q213" s="218"/>
      <c r="R213" s="234"/>
      <c r="S213" s="185"/>
      <c r="T213" s="185"/>
      <c r="U213" s="231"/>
      <c r="V213" s="218"/>
    </row>
    <row r="214" spans="2:22" ht="16.5" thickTop="1" x14ac:dyDescent="0.25">
      <c r="B214" s="256"/>
      <c r="C214" s="235"/>
      <c r="D214" s="70"/>
      <c r="E214" s="70"/>
      <c r="F214" s="222">
        <f>COUNT(D214:D219)</f>
        <v>0</v>
      </c>
      <c r="G214" s="240">
        <f t="shared" ref="G214" si="231">SUMPRODUCT(D214:D219,E214:E219)</f>
        <v>0</v>
      </c>
      <c r="H214" s="235"/>
      <c r="I214" s="70"/>
      <c r="J214" s="70"/>
      <c r="K214" s="222">
        <f t="shared" ref="K214" si="232">COUNT(I214:I219)</f>
        <v>0</v>
      </c>
      <c r="L214" s="219">
        <f>SUMPRODUCT(I214:I219,J214:J219)</f>
        <v>0</v>
      </c>
      <c r="M214" s="235"/>
      <c r="N214" s="70"/>
      <c r="O214" s="70"/>
      <c r="P214" s="222">
        <f t="shared" ref="P214" si="233">COUNT(N214:N219)</f>
        <v>0</v>
      </c>
      <c r="Q214" s="219">
        <f t="shared" ref="Q214" si="234">SUMPRODUCT(N214:N219,O214:O219)</f>
        <v>0</v>
      </c>
      <c r="R214" s="227"/>
      <c r="S214" s="70"/>
      <c r="T214" s="70"/>
      <c r="U214" s="222">
        <f t="shared" ref="U214" si="235">COUNT(S214:S219)</f>
        <v>0</v>
      </c>
      <c r="V214" s="219">
        <f t="shared" ref="V214" si="236">SUMPRODUCT(S214:S219,T214:T219)</f>
        <v>0</v>
      </c>
    </row>
    <row r="215" spans="2:22" ht="15.75" x14ac:dyDescent="0.25">
      <c r="B215" s="256"/>
      <c r="C215" s="235"/>
      <c r="D215" s="70"/>
      <c r="E215" s="70"/>
      <c r="F215" s="222"/>
      <c r="G215" s="240"/>
      <c r="H215" s="235"/>
      <c r="I215" s="70"/>
      <c r="J215" s="70"/>
      <c r="K215" s="222"/>
      <c r="L215" s="219"/>
      <c r="M215" s="235"/>
      <c r="N215" s="70"/>
      <c r="O215" s="70"/>
      <c r="P215" s="222"/>
      <c r="Q215" s="219"/>
      <c r="R215" s="227"/>
      <c r="S215" s="70"/>
      <c r="T215" s="70"/>
      <c r="U215" s="222"/>
      <c r="V215" s="219"/>
    </row>
    <row r="216" spans="2:22" ht="15.75" x14ac:dyDescent="0.25">
      <c r="B216" s="256"/>
      <c r="C216" s="235"/>
      <c r="D216" s="70"/>
      <c r="E216" s="70"/>
      <c r="F216" s="222"/>
      <c r="G216" s="240"/>
      <c r="H216" s="235"/>
      <c r="I216" s="70"/>
      <c r="J216" s="70"/>
      <c r="K216" s="222"/>
      <c r="L216" s="219"/>
      <c r="M216" s="235"/>
      <c r="N216" s="70"/>
      <c r="O216" s="70"/>
      <c r="P216" s="222"/>
      <c r="Q216" s="219"/>
      <c r="R216" s="227"/>
      <c r="S216" s="70"/>
      <c r="T216" s="70"/>
      <c r="U216" s="222"/>
      <c r="V216" s="219"/>
    </row>
    <row r="217" spans="2:22" ht="15.75" x14ac:dyDescent="0.25">
      <c r="B217" s="256"/>
      <c r="C217" s="235"/>
      <c r="D217" s="70"/>
      <c r="E217" s="70"/>
      <c r="F217" s="222"/>
      <c r="G217" s="240"/>
      <c r="H217" s="235"/>
      <c r="I217" s="70"/>
      <c r="J217" s="70"/>
      <c r="K217" s="222"/>
      <c r="L217" s="219"/>
      <c r="M217" s="235"/>
      <c r="N217" s="70"/>
      <c r="O217" s="70"/>
      <c r="P217" s="222"/>
      <c r="Q217" s="219"/>
      <c r="R217" s="227"/>
      <c r="S217" s="70"/>
      <c r="T217" s="70"/>
      <c r="U217" s="222"/>
      <c r="V217" s="219"/>
    </row>
    <row r="218" spans="2:22" ht="15.75" x14ac:dyDescent="0.25">
      <c r="B218" s="256"/>
      <c r="C218" s="235"/>
      <c r="D218" s="70"/>
      <c r="E218" s="70"/>
      <c r="F218" s="222"/>
      <c r="G218" s="240"/>
      <c r="H218" s="235"/>
      <c r="I218" s="70"/>
      <c r="J218" s="70"/>
      <c r="K218" s="222"/>
      <c r="L218" s="219"/>
      <c r="M218" s="235"/>
      <c r="N218" s="70"/>
      <c r="O218" s="70"/>
      <c r="P218" s="222"/>
      <c r="Q218" s="219"/>
      <c r="R218" s="227"/>
      <c r="S218" s="70"/>
      <c r="T218" s="70"/>
      <c r="U218" s="222"/>
      <c r="V218" s="219"/>
    </row>
    <row r="219" spans="2:22" ht="16.5" thickBot="1" x14ac:dyDescent="0.3">
      <c r="B219" s="257"/>
      <c r="C219" s="238"/>
      <c r="D219" s="71"/>
      <c r="E219" s="71"/>
      <c r="F219" s="236"/>
      <c r="G219" s="242"/>
      <c r="H219" s="238"/>
      <c r="I219" s="71"/>
      <c r="J219" s="71"/>
      <c r="K219" s="236"/>
      <c r="L219" s="220"/>
      <c r="M219" s="238"/>
      <c r="N219" s="71"/>
      <c r="O219" s="71"/>
      <c r="P219" s="236"/>
      <c r="Q219" s="220"/>
      <c r="R219" s="228"/>
      <c r="S219" s="71"/>
      <c r="T219" s="71"/>
      <c r="U219" s="236"/>
      <c r="V219" s="220"/>
    </row>
  </sheetData>
  <mergeCells count="441">
    <mergeCell ref="U184:U189"/>
    <mergeCell ref="U190:U195"/>
    <mergeCell ref="U196:U201"/>
    <mergeCell ref="U202:U207"/>
    <mergeCell ref="U208:U213"/>
    <mergeCell ref="U214:U219"/>
    <mergeCell ref="P208:P213"/>
    <mergeCell ref="P214:P219"/>
    <mergeCell ref="U4:U9"/>
    <mergeCell ref="U10:U15"/>
    <mergeCell ref="U16:U21"/>
    <mergeCell ref="U22:U27"/>
    <mergeCell ref="U28:U33"/>
    <mergeCell ref="U34:U39"/>
    <mergeCell ref="U40:U45"/>
    <mergeCell ref="U46:U51"/>
    <mergeCell ref="U52:U57"/>
    <mergeCell ref="U58:U63"/>
    <mergeCell ref="U64:U69"/>
    <mergeCell ref="U70:U75"/>
    <mergeCell ref="U76:U81"/>
    <mergeCell ref="U82:U87"/>
    <mergeCell ref="U88:U93"/>
    <mergeCell ref="U94:U99"/>
    <mergeCell ref="U100:U105"/>
    <mergeCell ref="U106:U111"/>
    <mergeCell ref="U112:U117"/>
    <mergeCell ref="U118:U123"/>
    <mergeCell ref="U124:U129"/>
    <mergeCell ref="U130:U135"/>
    <mergeCell ref="K196:K201"/>
    <mergeCell ref="K202:K207"/>
    <mergeCell ref="K208:K213"/>
    <mergeCell ref="K160:K165"/>
    <mergeCell ref="K166:K171"/>
    <mergeCell ref="K172:K177"/>
    <mergeCell ref="K178:K183"/>
    <mergeCell ref="K184:K189"/>
    <mergeCell ref="K190:K195"/>
    <mergeCell ref="L196:L201"/>
    <mergeCell ref="L202:L207"/>
    <mergeCell ref="L142:L147"/>
    <mergeCell ref="L148:L153"/>
    <mergeCell ref="L154:L159"/>
    <mergeCell ref="L160:L165"/>
    <mergeCell ref="L166:L171"/>
    <mergeCell ref="Q148:Q153"/>
    <mergeCell ref="Q154:Q159"/>
    <mergeCell ref="K214:K219"/>
    <mergeCell ref="P4:P9"/>
    <mergeCell ref="P10:P15"/>
    <mergeCell ref="P16:P21"/>
    <mergeCell ref="P22:P27"/>
    <mergeCell ref="P28:P33"/>
    <mergeCell ref="P34:P39"/>
    <mergeCell ref="P40:P45"/>
    <mergeCell ref="P46:P51"/>
    <mergeCell ref="P52:P57"/>
    <mergeCell ref="P58:P63"/>
    <mergeCell ref="P64:P69"/>
    <mergeCell ref="P70:P75"/>
    <mergeCell ref="P76:P81"/>
    <mergeCell ref="P82:P87"/>
    <mergeCell ref="P88:P93"/>
    <mergeCell ref="P94:P99"/>
    <mergeCell ref="P100:P105"/>
    <mergeCell ref="P106:P111"/>
    <mergeCell ref="P112:P117"/>
    <mergeCell ref="P118:P123"/>
    <mergeCell ref="K142:K147"/>
    <mergeCell ref="K148:K153"/>
    <mergeCell ref="F178:F183"/>
    <mergeCell ref="F184:F189"/>
    <mergeCell ref="F190:F195"/>
    <mergeCell ref="F196:F201"/>
    <mergeCell ref="F202:F207"/>
    <mergeCell ref="F208:F213"/>
    <mergeCell ref="F214:F219"/>
    <mergeCell ref="K4:K9"/>
    <mergeCell ref="K10:K15"/>
    <mergeCell ref="K16:K21"/>
    <mergeCell ref="K22:K27"/>
    <mergeCell ref="K28:K33"/>
    <mergeCell ref="K34:K39"/>
    <mergeCell ref="K40:K45"/>
    <mergeCell ref="K46:K51"/>
    <mergeCell ref="K52:K57"/>
    <mergeCell ref="K58:K63"/>
    <mergeCell ref="K64:K69"/>
    <mergeCell ref="K70:K75"/>
    <mergeCell ref="K76:K81"/>
    <mergeCell ref="K82:K87"/>
    <mergeCell ref="K88:K93"/>
    <mergeCell ref="K94:K99"/>
    <mergeCell ref="K130:K135"/>
    <mergeCell ref="R2:V2"/>
    <mergeCell ref="M4:M9"/>
    <mergeCell ref="R4:R9"/>
    <mergeCell ref="M10:M15"/>
    <mergeCell ref="R10:R15"/>
    <mergeCell ref="F46:F51"/>
    <mergeCell ref="F52:F57"/>
    <mergeCell ref="F58:F63"/>
    <mergeCell ref="F64:F69"/>
    <mergeCell ref="R16:R21"/>
    <mergeCell ref="R22:R27"/>
    <mergeCell ref="M28:M33"/>
    <mergeCell ref="R28:R33"/>
    <mergeCell ref="Q4:Q9"/>
    <mergeCell ref="V4:V9"/>
    <mergeCell ref="G16:G21"/>
    <mergeCell ref="L10:L15"/>
    <mergeCell ref="L16:L21"/>
    <mergeCell ref="Q10:Q15"/>
    <mergeCell ref="Q16:Q21"/>
    <mergeCell ref="Q22:Q27"/>
    <mergeCell ref="G4:G9"/>
    <mergeCell ref="G10:G15"/>
    <mergeCell ref="L4:L9"/>
    <mergeCell ref="B40:B75"/>
    <mergeCell ref="B76:B111"/>
    <mergeCell ref="B112:B147"/>
    <mergeCell ref="B148:B183"/>
    <mergeCell ref="B184:B219"/>
    <mergeCell ref="B4:B39"/>
    <mergeCell ref="C2:G2"/>
    <mergeCell ref="H2:L2"/>
    <mergeCell ref="M2:Q2"/>
    <mergeCell ref="F70:F75"/>
    <mergeCell ref="M16:M21"/>
    <mergeCell ref="C22:C27"/>
    <mergeCell ref="H22:H27"/>
    <mergeCell ref="M22:M27"/>
    <mergeCell ref="G22:G27"/>
    <mergeCell ref="L22:L27"/>
    <mergeCell ref="C4:C9"/>
    <mergeCell ref="H4:H9"/>
    <mergeCell ref="C10:C15"/>
    <mergeCell ref="C16:C21"/>
    <mergeCell ref="H16:H21"/>
    <mergeCell ref="C28:C33"/>
    <mergeCell ref="H28:H33"/>
    <mergeCell ref="F172:F177"/>
    <mergeCell ref="C34:C39"/>
    <mergeCell ref="H34:H39"/>
    <mergeCell ref="M34:M39"/>
    <mergeCell ref="R34:R39"/>
    <mergeCell ref="G28:G33"/>
    <mergeCell ref="G34:G39"/>
    <mergeCell ref="C40:C45"/>
    <mergeCell ref="H40:H45"/>
    <mergeCell ref="M40:M45"/>
    <mergeCell ref="R40:R45"/>
    <mergeCell ref="Q28:Q33"/>
    <mergeCell ref="Q34:Q39"/>
    <mergeCell ref="F34:F39"/>
    <mergeCell ref="C46:C51"/>
    <mergeCell ref="H46:H51"/>
    <mergeCell ref="M46:M51"/>
    <mergeCell ref="R46:R51"/>
    <mergeCell ref="G40:G45"/>
    <mergeCell ref="G46:G51"/>
    <mergeCell ref="C52:C57"/>
    <mergeCell ref="H52:H57"/>
    <mergeCell ref="M52:M57"/>
    <mergeCell ref="R52:R57"/>
    <mergeCell ref="Q40:Q45"/>
    <mergeCell ref="Q46:Q51"/>
    <mergeCell ref="F40:F45"/>
    <mergeCell ref="C58:C63"/>
    <mergeCell ref="H58:H63"/>
    <mergeCell ref="M58:M63"/>
    <mergeCell ref="R58:R63"/>
    <mergeCell ref="G52:G57"/>
    <mergeCell ref="G58:G63"/>
    <mergeCell ref="C64:C69"/>
    <mergeCell ref="H64:H69"/>
    <mergeCell ref="M64:M69"/>
    <mergeCell ref="R64:R69"/>
    <mergeCell ref="Q52:Q57"/>
    <mergeCell ref="Q58:Q63"/>
    <mergeCell ref="C70:C75"/>
    <mergeCell ref="H70:H75"/>
    <mergeCell ref="M70:M75"/>
    <mergeCell ref="R70:R75"/>
    <mergeCell ref="G64:G69"/>
    <mergeCell ref="G70:G75"/>
    <mergeCell ref="C76:C81"/>
    <mergeCell ref="H76:H81"/>
    <mergeCell ref="M76:M81"/>
    <mergeCell ref="R76:R81"/>
    <mergeCell ref="Q64:Q69"/>
    <mergeCell ref="Q70:Q75"/>
    <mergeCell ref="F76:F81"/>
    <mergeCell ref="C82:C87"/>
    <mergeCell ref="H82:H87"/>
    <mergeCell ref="M82:M87"/>
    <mergeCell ref="R82:R87"/>
    <mergeCell ref="G76:G81"/>
    <mergeCell ref="G82:G87"/>
    <mergeCell ref="C88:C93"/>
    <mergeCell ref="H88:H93"/>
    <mergeCell ref="M88:M93"/>
    <mergeCell ref="R88:R93"/>
    <mergeCell ref="Q76:Q81"/>
    <mergeCell ref="Q82:Q87"/>
    <mergeCell ref="F82:F87"/>
    <mergeCell ref="F88:F93"/>
    <mergeCell ref="C94:C99"/>
    <mergeCell ref="H94:H99"/>
    <mergeCell ref="M94:M99"/>
    <mergeCell ref="R94:R99"/>
    <mergeCell ref="G88:G93"/>
    <mergeCell ref="G94:G99"/>
    <mergeCell ref="C100:C105"/>
    <mergeCell ref="H100:H105"/>
    <mergeCell ref="M100:M105"/>
    <mergeCell ref="R100:R105"/>
    <mergeCell ref="Q88:Q93"/>
    <mergeCell ref="G100:G105"/>
    <mergeCell ref="Q94:Q99"/>
    <mergeCell ref="F94:F99"/>
    <mergeCell ref="F100:F105"/>
    <mergeCell ref="K100:K105"/>
    <mergeCell ref="C106:C111"/>
    <mergeCell ref="H106:H111"/>
    <mergeCell ref="M106:M111"/>
    <mergeCell ref="R106:R111"/>
    <mergeCell ref="G124:G129"/>
    <mergeCell ref="G106:G111"/>
    <mergeCell ref="C112:C117"/>
    <mergeCell ref="H112:H117"/>
    <mergeCell ref="M112:M117"/>
    <mergeCell ref="R112:R117"/>
    <mergeCell ref="L106:L111"/>
    <mergeCell ref="Q106:Q111"/>
    <mergeCell ref="G112:G117"/>
    <mergeCell ref="F106:F111"/>
    <mergeCell ref="F112:F117"/>
    <mergeCell ref="F118:F123"/>
    <mergeCell ref="F124:F129"/>
    <mergeCell ref="P124:P129"/>
    <mergeCell ref="C118:C123"/>
    <mergeCell ref="H118:H123"/>
    <mergeCell ref="M118:M123"/>
    <mergeCell ref="R118:R123"/>
    <mergeCell ref="K106:K111"/>
    <mergeCell ref="K112:K117"/>
    <mergeCell ref="G136:G141"/>
    <mergeCell ref="G118:G123"/>
    <mergeCell ref="C124:C129"/>
    <mergeCell ref="H124:H129"/>
    <mergeCell ref="M124:M129"/>
    <mergeCell ref="R124:R129"/>
    <mergeCell ref="Q118:Q123"/>
    <mergeCell ref="F130:F135"/>
    <mergeCell ref="F136:F141"/>
    <mergeCell ref="K136:K141"/>
    <mergeCell ref="P130:P135"/>
    <mergeCell ref="P136:P141"/>
    <mergeCell ref="C130:C135"/>
    <mergeCell ref="H130:H135"/>
    <mergeCell ref="M130:M135"/>
    <mergeCell ref="R130:R135"/>
    <mergeCell ref="G130:G135"/>
    <mergeCell ref="C136:C141"/>
    <mergeCell ref="H136:H141"/>
    <mergeCell ref="M136:M141"/>
    <mergeCell ref="R136:R141"/>
    <mergeCell ref="L136:L141"/>
    <mergeCell ref="K118:K123"/>
    <mergeCell ref="K124:K129"/>
    <mergeCell ref="C166:C171"/>
    <mergeCell ref="H166:H171"/>
    <mergeCell ref="G142:G147"/>
    <mergeCell ref="C148:C153"/>
    <mergeCell ref="H148:H153"/>
    <mergeCell ref="M148:M153"/>
    <mergeCell ref="R148:R153"/>
    <mergeCell ref="F142:F147"/>
    <mergeCell ref="F148:F153"/>
    <mergeCell ref="F154:F159"/>
    <mergeCell ref="F160:F165"/>
    <mergeCell ref="F166:F171"/>
    <mergeCell ref="K154:K159"/>
    <mergeCell ref="C142:C147"/>
    <mergeCell ref="H142:H147"/>
    <mergeCell ref="M142:M147"/>
    <mergeCell ref="R142:R147"/>
    <mergeCell ref="C154:C159"/>
    <mergeCell ref="H154:H159"/>
    <mergeCell ref="M154:M159"/>
    <mergeCell ref="R154:R159"/>
    <mergeCell ref="G148:G153"/>
    <mergeCell ref="G154:G159"/>
    <mergeCell ref="P142:P147"/>
    <mergeCell ref="C214:C219"/>
    <mergeCell ref="H214:H219"/>
    <mergeCell ref="M214:M219"/>
    <mergeCell ref="R214:R219"/>
    <mergeCell ref="G208:G213"/>
    <mergeCell ref="G214:G219"/>
    <mergeCell ref="C196:C201"/>
    <mergeCell ref="H196:H201"/>
    <mergeCell ref="M196:M201"/>
    <mergeCell ref="R196:R201"/>
    <mergeCell ref="C202:C207"/>
    <mergeCell ref="H202:H207"/>
    <mergeCell ref="M202:M207"/>
    <mergeCell ref="R202:R207"/>
    <mergeCell ref="G196:G201"/>
    <mergeCell ref="G202:G207"/>
    <mergeCell ref="C208:C213"/>
    <mergeCell ref="H208:H213"/>
    <mergeCell ref="M208:M213"/>
    <mergeCell ref="R208:R213"/>
    <mergeCell ref="L208:L213"/>
    <mergeCell ref="L214:L219"/>
    <mergeCell ref="Q202:Q207"/>
    <mergeCell ref="Q208:Q213"/>
    <mergeCell ref="C184:C189"/>
    <mergeCell ref="H184:H189"/>
    <mergeCell ref="M184:M189"/>
    <mergeCell ref="R184:R189"/>
    <mergeCell ref="C190:C195"/>
    <mergeCell ref="H190:H195"/>
    <mergeCell ref="M190:M195"/>
    <mergeCell ref="R190:R195"/>
    <mergeCell ref="G184:G189"/>
    <mergeCell ref="G190:G195"/>
    <mergeCell ref="L184:L189"/>
    <mergeCell ref="L190:L195"/>
    <mergeCell ref="P184:P189"/>
    <mergeCell ref="P190:P195"/>
    <mergeCell ref="G172:G177"/>
    <mergeCell ref="G178:G183"/>
    <mergeCell ref="C178:C183"/>
    <mergeCell ref="L28:L33"/>
    <mergeCell ref="L34:L39"/>
    <mergeCell ref="L40:L45"/>
    <mergeCell ref="L46:L51"/>
    <mergeCell ref="L52:L57"/>
    <mergeCell ref="L58:L63"/>
    <mergeCell ref="L112:L117"/>
    <mergeCell ref="L118:L123"/>
    <mergeCell ref="L124:L129"/>
    <mergeCell ref="L130:L135"/>
    <mergeCell ref="L64:L69"/>
    <mergeCell ref="L70:L75"/>
    <mergeCell ref="L76:L81"/>
    <mergeCell ref="L82:L87"/>
    <mergeCell ref="L88:L93"/>
    <mergeCell ref="L94:L99"/>
    <mergeCell ref="C160:C165"/>
    <mergeCell ref="H160:H165"/>
    <mergeCell ref="G160:G165"/>
    <mergeCell ref="G166:G171"/>
    <mergeCell ref="C172:C177"/>
    <mergeCell ref="P148:P153"/>
    <mergeCell ref="P154:P159"/>
    <mergeCell ref="P160:P165"/>
    <mergeCell ref="P166:P171"/>
    <mergeCell ref="P172:P177"/>
    <mergeCell ref="P178:P183"/>
    <mergeCell ref="P196:P201"/>
    <mergeCell ref="H178:H183"/>
    <mergeCell ref="M178:M183"/>
    <mergeCell ref="H172:H177"/>
    <mergeCell ref="M172:M177"/>
    <mergeCell ref="P202:P207"/>
    <mergeCell ref="V100:V105"/>
    <mergeCell ref="L172:L177"/>
    <mergeCell ref="L178:L183"/>
    <mergeCell ref="R172:R177"/>
    <mergeCell ref="M160:M165"/>
    <mergeCell ref="R160:R165"/>
    <mergeCell ref="M166:M171"/>
    <mergeCell ref="R166:R171"/>
    <mergeCell ref="V118:V123"/>
    <mergeCell ref="Q124:Q129"/>
    <mergeCell ref="Q112:Q117"/>
    <mergeCell ref="L100:L105"/>
    <mergeCell ref="Q100:Q105"/>
    <mergeCell ref="U136:U141"/>
    <mergeCell ref="U142:U147"/>
    <mergeCell ref="U148:U153"/>
    <mergeCell ref="U154:U159"/>
    <mergeCell ref="U160:U165"/>
    <mergeCell ref="U166:U171"/>
    <mergeCell ref="U172:U177"/>
    <mergeCell ref="U178:U183"/>
    <mergeCell ref="V202:V207"/>
    <mergeCell ref="Q160:Q165"/>
    <mergeCell ref="V64:V69"/>
    <mergeCell ref="V70:V75"/>
    <mergeCell ref="V76:V81"/>
    <mergeCell ref="V82:V87"/>
    <mergeCell ref="Q214:Q219"/>
    <mergeCell ref="V10:V15"/>
    <mergeCell ref="V16:V21"/>
    <mergeCell ref="V22:V27"/>
    <mergeCell ref="V28:V33"/>
    <mergeCell ref="V34:V39"/>
    <mergeCell ref="V40:V45"/>
    <mergeCell ref="V46:V51"/>
    <mergeCell ref="Q166:Q171"/>
    <mergeCell ref="Q172:Q177"/>
    <mergeCell ref="Q178:Q183"/>
    <mergeCell ref="Q184:Q189"/>
    <mergeCell ref="Q190:Q195"/>
    <mergeCell ref="Q196:Q201"/>
    <mergeCell ref="Q130:Q135"/>
    <mergeCell ref="Q136:Q141"/>
    <mergeCell ref="Q142:Q147"/>
    <mergeCell ref="V196:V201"/>
    <mergeCell ref="V94:V99"/>
    <mergeCell ref="R178:R183"/>
    <mergeCell ref="V208:V213"/>
    <mergeCell ref="V214:V219"/>
    <mergeCell ref="F4:F9"/>
    <mergeCell ref="F10:F15"/>
    <mergeCell ref="F16:F21"/>
    <mergeCell ref="F22:F27"/>
    <mergeCell ref="F28:F33"/>
    <mergeCell ref="V160:V165"/>
    <mergeCell ref="V166:V171"/>
    <mergeCell ref="V172:V177"/>
    <mergeCell ref="V178:V183"/>
    <mergeCell ref="V184:V189"/>
    <mergeCell ref="V190:V195"/>
    <mergeCell ref="V124:V129"/>
    <mergeCell ref="V130:V135"/>
    <mergeCell ref="V136:V141"/>
    <mergeCell ref="V142:V147"/>
    <mergeCell ref="V148:V153"/>
    <mergeCell ref="V154:V159"/>
    <mergeCell ref="V88:V93"/>
    <mergeCell ref="V106:V111"/>
    <mergeCell ref="V112:V117"/>
    <mergeCell ref="V52:V57"/>
    <mergeCell ref="V58:V63"/>
  </mergeCells>
  <phoneticPr fontId="5" type="noConversion"/>
  <pageMargins left="0.7" right="0.7" top="0.75" bottom="0.75" header="0.3" footer="0.3"/>
  <pageSetup orientation="portrait" r:id="rId1"/>
  <ignoredErrors>
    <ignoredError sqref="F4:G4 F10:G10 F18:G21 F36:G39 F66:G69 F211:G213 M1:V3 F216:G219 G214 L49:L52 L4 P4:Q4 U4:V4 L66:L69 L54 U54:V54 P54:Q54 K216:L219 L84 P84:Q84 U84:V84 U49:V52 U78:V82 K211:L213 T213:V213 U211:V212 P49:Q52 P78:Q82 P211:Q213 L78:L82 N216:V219 L102:L105 L106 K26:K27 L144:L147 K144:K147 K102:K106 K4:K7 P5:Q7 U5:V7 L5:L7 K9:K13 P9:Q13 U9:V13 L9:L13 K15:K16 P15:Q16 U15:V16 L15:L16 F16:G16 K18:K24 P18:Q24 U18:V24 L18:L24 F22:G24 P26:Q28 U26:V28 L26:L28 F26:G28 K34 P30:Q34 U30:V34 L30:L34 F30:G34 K36:K40 P36:Q40 U36:V40 L36:L40 F40:G40 K42:K47 P42:Q47 U42:V47 L42:L47 F42:G47 K49:K52 F49:G52 K54:K58 P55:Q58 U55:V58 L55:L58 F54:G58 K60:K64 P60:Q64 U60:V64 L60:L64 F60:G64 K66:K70 P66:Q70 U66:V70 K72:K76 L76 P72:Q76 U72:V76 F76:G76 K78:K82 F78:G82 K84:K88 L85:L88 P85:Q88 U85:V88 F84:G88 K90:K95 L90:L95 P90:Q95 U90:V95 F90:G95 K97:K100 L97:L100 P97:Q100 U97:V100 F97:G100 P102:Q106 U102:V106 F102:G106 K108:K112 L108:L112 P108:Q112 U108:V112 F108:G112 K114:K118 L114:L118 P114:Q118 U114:V118 F114:G118 K120:K124 L120:L124 P120:Q124 U120:V124 F120:G124 K126:K131 L126:L131 P126:Q131 U126:V131 F126:G131 K133:K137 L133:L137 P133:Q137 U133:V137 F133:G137 K139:K142 L139:L142 P139:Q142 U139:V142 F139:G142 P144:Q148 U144:V148 K148:L148 F144:G148 P150:Q155 U150:V155 K150:L155 F150:G155 P157:Q161 U157:V161 K157:L161 F157:G161 P163:Q166 U163:V166 K163:L166 F163:G166 P168:Q172 U168:V172 K168:L172 F168:G172 P174:Q179 U174:V179 K174:L179 F174:G179 P181:Q186 U181:V186 K181:L186 F181:G186 P188:Q191 U188:V191 K188:L191 F188:G191 P193:Q197 U193:V197 K193:L197 F193:G197 P199:Q202 U199:V202 K199:L202 F199:G202 P204:Q209 U204:V209 K204:L209 F204:G209 N214:V214 K214:L214"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A8E9F-FED2-4441-94B5-538010190456}">
  <sheetPr codeName="Sheet10">
    <tabColor theme="4" tint="0.79998168889431442"/>
  </sheetPr>
  <dimension ref="V17:AF38"/>
  <sheetViews>
    <sheetView showGridLines="0" tabSelected="1" zoomScale="90" zoomScaleNormal="90" workbookViewId="0">
      <selection activeCell="AA31" sqref="AA31"/>
    </sheetView>
  </sheetViews>
  <sheetFormatPr defaultRowHeight="12.75" x14ac:dyDescent="0.2"/>
  <cols>
    <col min="19" max="20" width="9.140625" customWidth="1"/>
    <col min="30" max="30" width="4.7109375" customWidth="1"/>
  </cols>
  <sheetData>
    <row r="17" spans="26:32" ht="18.75" x14ac:dyDescent="0.3">
      <c r="Z17" s="68" t="s">
        <v>257</v>
      </c>
      <c r="AA17" s="63"/>
      <c r="AB17" s="63"/>
      <c r="AC17" s="61"/>
      <c r="AD17" s="61"/>
      <c r="AE17" s="61"/>
    </row>
    <row r="23" spans="26:32" ht="18.75" x14ac:dyDescent="0.3">
      <c r="Z23" s="68" t="s">
        <v>267</v>
      </c>
      <c r="AA23" s="62"/>
      <c r="AB23" s="62"/>
      <c r="AC23" s="62"/>
      <c r="AD23" s="61"/>
      <c r="AE23" s="61"/>
      <c r="AF23" s="61"/>
    </row>
    <row r="38" spans="22:22" x14ac:dyDescent="0.2">
      <c r="V38" s="2"/>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7BE8B-474F-4CC7-A818-819F22DF2047}">
  <sheetPr codeName="Sheet9"/>
  <dimension ref="B7:O14"/>
  <sheetViews>
    <sheetView workbookViewId="0">
      <selection activeCell="G18" sqref="G18"/>
    </sheetView>
  </sheetViews>
  <sheetFormatPr defaultRowHeight="12.75" x14ac:dyDescent="0.2"/>
  <cols>
    <col min="1" max="2" width="11.42578125" bestFit="1" customWidth="1"/>
    <col min="3" max="3" width="17.7109375" bestFit="1" customWidth="1"/>
    <col min="4" max="5" width="12.85546875" bestFit="1" customWidth="1"/>
    <col min="7" max="7" width="11.42578125" bestFit="1" customWidth="1"/>
    <col min="8" max="8" width="17.7109375" bestFit="1" customWidth="1"/>
    <col min="9" max="9" width="10.5703125" bestFit="1" customWidth="1"/>
    <col min="11" max="11" width="13.85546875" bestFit="1" customWidth="1"/>
    <col min="12" max="12" width="19.28515625" bestFit="1" customWidth="1"/>
    <col min="13" max="13" width="11" bestFit="1" customWidth="1"/>
    <col min="14" max="14" width="15.140625" bestFit="1" customWidth="1"/>
    <col min="15" max="18" width="7.7109375" bestFit="1" customWidth="1"/>
    <col min="19" max="19" width="15.140625" bestFit="1" customWidth="1"/>
    <col min="20" max="20" width="17.5703125" bestFit="1" customWidth="1"/>
    <col min="21" max="21" width="15.140625" bestFit="1" customWidth="1"/>
    <col min="22" max="22" width="17.5703125" bestFit="1" customWidth="1"/>
    <col min="23" max="23" width="7.5703125" bestFit="1" customWidth="1"/>
    <col min="24" max="24" width="12.85546875" bestFit="1" customWidth="1"/>
    <col min="25" max="25" width="9.7109375" bestFit="1" customWidth="1"/>
    <col min="26" max="27" width="7" bestFit="1" customWidth="1"/>
    <col min="28" max="28" width="6" bestFit="1" customWidth="1"/>
    <col min="29" max="29" width="5.28515625" bestFit="1" customWidth="1"/>
    <col min="30" max="30" width="10.85546875" bestFit="1" customWidth="1"/>
    <col min="31" max="31" width="5.85546875" bestFit="1" customWidth="1"/>
    <col min="32" max="32" width="9.28515625" bestFit="1" customWidth="1"/>
    <col min="33" max="33" width="7.5703125" bestFit="1" customWidth="1"/>
    <col min="34" max="34" width="12.85546875" bestFit="1" customWidth="1"/>
    <col min="35" max="35" width="9.7109375" bestFit="1" customWidth="1"/>
    <col min="36" max="37" width="7" bestFit="1" customWidth="1"/>
    <col min="38" max="38" width="6" bestFit="1" customWidth="1"/>
    <col min="39" max="39" width="5.28515625" bestFit="1" customWidth="1"/>
    <col min="40" max="40" width="10.85546875" bestFit="1" customWidth="1"/>
    <col min="41" max="41" width="5.85546875" bestFit="1" customWidth="1"/>
    <col min="42" max="42" width="9.28515625" bestFit="1" customWidth="1"/>
    <col min="43" max="43" width="7.5703125" bestFit="1" customWidth="1"/>
    <col min="44" max="44" width="12.85546875" bestFit="1" customWidth="1"/>
    <col min="45" max="45" width="9.7109375" bestFit="1" customWidth="1"/>
    <col min="46" max="47" width="7" bestFit="1" customWidth="1"/>
    <col min="48" max="48" width="6" bestFit="1" customWidth="1"/>
    <col min="49" max="49" width="5.28515625" bestFit="1" customWidth="1"/>
    <col min="50" max="50" width="10.85546875" bestFit="1" customWidth="1"/>
    <col min="51" max="51" width="5.85546875" bestFit="1" customWidth="1"/>
    <col min="52" max="52" width="9.28515625" bestFit="1" customWidth="1"/>
    <col min="53" max="53" width="7.5703125" bestFit="1" customWidth="1"/>
    <col min="54" max="54" width="12.85546875" bestFit="1" customWidth="1"/>
  </cols>
  <sheetData>
    <row r="7" spans="2:15" x14ac:dyDescent="0.2">
      <c r="B7" s="25" t="s">
        <v>265</v>
      </c>
      <c r="C7" s="25" t="s">
        <v>266</v>
      </c>
      <c r="D7" t="s">
        <v>197</v>
      </c>
      <c r="G7" s="25" t="s">
        <v>265</v>
      </c>
      <c r="H7" s="25" t="s">
        <v>266</v>
      </c>
      <c r="I7" t="s">
        <v>195</v>
      </c>
      <c r="K7" s="25" t="s">
        <v>151</v>
      </c>
      <c r="L7" t="s">
        <v>196</v>
      </c>
      <c r="N7" s="25" t="s">
        <v>258</v>
      </c>
    </row>
    <row r="8" spans="2:15" x14ac:dyDescent="0.2">
      <c r="B8" t="s">
        <v>178</v>
      </c>
      <c r="D8" s="60">
        <v>1890</v>
      </c>
      <c r="G8" t="s">
        <v>178</v>
      </c>
      <c r="I8" s="268">
        <v>11</v>
      </c>
      <c r="K8" s="59" t="s">
        <v>178</v>
      </c>
      <c r="L8" s="268">
        <v>1890</v>
      </c>
      <c r="O8" t="s">
        <v>174</v>
      </c>
    </row>
    <row r="9" spans="2:15" x14ac:dyDescent="0.2">
      <c r="B9" t="s">
        <v>184</v>
      </c>
      <c r="D9" s="60">
        <v>1695</v>
      </c>
      <c r="G9" t="s">
        <v>209</v>
      </c>
      <c r="I9" s="268">
        <v>11</v>
      </c>
      <c r="K9" s="59" t="s">
        <v>184</v>
      </c>
      <c r="L9" s="268">
        <v>1695</v>
      </c>
      <c r="N9" s="59" t="s">
        <v>163</v>
      </c>
      <c r="O9" s="268">
        <v>2670</v>
      </c>
    </row>
    <row r="10" spans="2:15" x14ac:dyDescent="0.2">
      <c r="B10" t="s">
        <v>209</v>
      </c>
      <c r="D10" s="60">
        <v>1560</v>
      </c>
      <c r="G10" t="s">
        <v>184</v>
      </c>
      <c r="I10" s="268">
        <v>10</v>
      </c>
      <c r="K10" s="59" t="s">
        <v>179</v>
      </c>
      <c r="L10" s="268">
        <v>390</v>
      </c>
      <c r="N10" s="59" t="s">
        <v>164</v>
      </c>
      <c r="O10" s="268">
        <v>1140</v>
      </c>
    </row>
    <row r="11" spans="2:15" x14ac:dyDescent="0.2">
      <c r="B11" t="s">
        <v>179</v>
      </c>
      <c r="D11" s="60">
        <v>390</v>
      </c>
      <c r="G11" t="s">
        <v>186</v>
      </c>
      <c r="I11" s="268">
        <v>3</v>
      </c>
      <c r="K11" s="59" t="s">
        <v>209</v>
      </c>
      <c r="L11" s="268">
        <v>1560</v>
      </c>
      <c r="N11" s="59" t="s">
        <v>165</v>
      </c>
      <c r="O11" s="268">
        <v>2085</v>
      </c>
    </row>
    <row r="12" spans="2:15" x14ac:dyDescent="0.2">
      <c r="B12" t="s">
        <v>186</v>
      </c>
      <c r="D12" s="60">
        <v>360</v>
      </c>
      <c r="G12" t="s">
        <v>179</v>
      </c>
      <c r="I12" s="268">
        <v>3</v>
      </c>
      <c r="K12" s="59" t="s">
        <v>186</v>
      </c>
      <c r="L12" s="268">
        <v>360</v>
      </c>
      <c r="N12" s="59" t="s">
        <v>166</v>
      </c>
      <c r="O12" s="268">
        <v>0</v>
      </c>
    </row>
    <row r="13" spans="2:15" x14ac:dyDescent="0.2">
      <c r="N13" s="59" t="s">
        <v>167</v>
      </c>
      <c r="O13" s="268">
        <v>0</v>
      </c>
    </row>
    <row r="14" spans="2:15" x14ac:dyDescent="0.2">
      <c r="N14" s="59" t="s">
        <v>168</v>
      </c>
      <c r="O14" s="268">
        <v>0</v>
      </c>
    </row>
  </sheetData>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18B5D-A70A-46F9-97DE-60F637A2336C}">
  <sheetPr codeName="Sheet8"/>
  <dimension ref="B2:N210"/>
  <sheetViews>
    <sheetView topLeftCell="A70" zoomScale="87" workbookViewId="0">
      <selection activeCell="P88" sqref="P88"/>
    </sheetView>
  </sheetViews>
  <sheetFormatPr defaultRowHeight="12.75" x14ac:dyDescent="0.2"/>
  <cols>
    <col min="2" max="2" width="10.85546875" bestFit="1" customWidth="1"/>
    <col min="3" max="3" width="8.42578125" bestFit="1" customWidth="1"/>
    <col min="4" max="4" width="19.7109375" bestFit="1" customWidth="1"/>
    <col min="5" max="5" width="12.85546875" customWidth="1"/>
    <col min="6" max="6" width="12.5703125" bestFit="1" customWidth="1"/>
    <col min="7" max="8" width="12.5703125" customWidth="1"/>
    <col min="10" max="10" width="10.28515625" bestFit="1" customWidth="1"/>
    <col min="12" max="12" width="20" bestFit="1" customWidth="1"/>
    <col min="13" max="13" width="12" bestFit="1" customWidth="1"/>
    <col min="14" max="14" width="13" bestFit="1" customWidth="1"/>
    <col min="15" max="15" width="10.85546875" bestFit="1" customWidth="1"/>
    <col min="16" max="16" width="11.28515625" bestFit="1" customWidth="1"/>
    <col min="17" max="17" width="11.85546875" bestFit="1" customWidth="1"/>
    <col min="18" max="18" width="11.28515625" bestFit="1" customWidth="1"/>
    <col min="19" max="19" width="9.140625" bestFit="1" customWidth="1"/>
    <col min="20" max="20" width="7.85546875" bestFit="1" customWidth="1"/>
    <col min="21" max="21" width="8.7109375" bestFit="1" customWidth="1"/>
    <col min="22" max="22" width="7" bestFit="1" customWidth="1"/>
    <col min="23" max="24" width="4.5703125" bestFit="1" customWidth="1"/>
    <col min="25" max="25" width="6.7109375" bestFit="1" customWidth="1"/>
  </cols>
  <sheetData>
    <row r="2" spans="2:14" x14ac:dyDescent="0.2">
      <c r="B2" s="2" t="s">
        <v>171</v>
      </c>
      <c r="C2" s="2" t="s">
        <v>173</v>
      </c>
      <c r="D2" s="2" t="s">
        <v>172</v>
      </c>
      <c r="E2" s="2" t="s">
        <v>263</v>
      </c>
      <c r="F2" s="2" t="s">
        <v>264</v>
      </c>
      <c r="G2" s="2" t="s">
        <v>265</v>
      </c>
      <c r="H2" s="2" t="s">
        <v>266</v>
      </c>
      <c r="I2" t="s">
        <v>187</v>
      </c>
      <c r="J2" s="2" t="s">
        <v>175</v>
      </c>
      <c r="L2" s="2" t="s">
        <v>176</v>
      </c>
      <c r="M2" s="2" t="s">
        <v>177</v>
      </c>
      <c r="N2" s="2" t="s">
        <v>254</v>
      </c>
    </row>
    <row r="3" spans="2:14" ht="12.75" customHeight="1" x14ac:dyDescent="0.2">
      <c r="B3" s="2" t="s">
        <v>163</v>
      </c>
      <c r="C3" s="2" t="s">
        <v>174</v>
      </c>
      <c r="D3" t="str">
        <f>'Lịch Tập'!C4</f>
        <v>Squats</v>
      </c>
      <c r="E3" t="str">
        <f>VLOOKUP(Table2[[#This Row],[Exercise]],Table1[],2,FALSE)</f>
        <v>Leg</v>
      </c>
      <c r="F3" t="str">
        <f>VLOOKUP(Table2[[#This Row],[Exercise]],Table1[],3,FALSE)</f>
        <v>Quads</v>
      </c>
      <c r="G3" t="str">
        <f>IF(LEN(Table2[[#This Row],[Exercise]])&gt;1,Table2[[#This Row],[Nhóm cơ Sript]],$E$3)</f>
        <v>Leg</v>
      </c>
      <c r="H3" t="str">
        <f>IF(LEN(Table2[[#This Row],[Exercise]])&gt;1,Table2[[#This Row],[Detail Script]],$F$3)</f>
        <v>Quads</v>
      </c>
      <c r="I3">
        <f>'Lịch Tập'!F4</f>
        <v>4</v>
      </c>
      <c r="J3">
        <f>'Lịch Tập'!G4</f>
        <v>420</v>
      </c>
      <c r="L3" t="str">
        <f>'Các Bài Tập'!C4</f>
        <v>DB Incline Press</v>
      </c>
      <c r="M3" s="2" t="str">
        <f>'Các Bài Tập'!$C$2</f>
        <v>Chest</v>
      </c>
      <c r="N3" s="2" t="str">
        <f>'Các Bài Tập'!$C$3</f>
        <v>Upper Chest</v>
      </c>
    </row>
    <row r="4" spans="2:14" ht="12.75" customHeight="1" x14ac:dyDescent="0.2">
      <c r="B4" s="2" t="s">
        <v>163</v>
      </c>
      <c r="C4" s="2" t="str">
        <f>$C$3</f>
        <v>Week 1</v>
      </c>
      <c r="D4" t="str">
        <f>'Lịch Tập'!C10</f>
        <v>Lying Leg Curl</v>
      </c>
      <c r="E4" t="str">
        <f>VLOOKUP(Table2[[#This Row],[Exercise]],Table1[],2,FALSE)</f>
        <v>Leg</v>
      </c>
      <c r="F4" t="str">
        <f>VLOOKUP(Table2[[#This Row],[Exercise]],Table1[],3,FALSE)</f>
        <v>Hamstring</v>
      </c>
      <c r="G4" t="str">
        <f>IF(LEN(Table2[[#This Row],[Exercise]])&gt;1,Table2[[#This Row],[Nhóm cơ Sript]],$E$3)</f>
        <v>Leg</v>
      </c>
      <c r="H4" t="str">
        <f>IF(LEN(Table2[[#This Row],[Exercise]])&gt;1,Table2[[#This Row],[Detail Script]],$F$3)</f>
        <v>Hamstring</v>
      </c>
      <c r="I4">
        <f>'Lịch Tập'!F10</f>
        <v>4</v>
      </c>
      <c r="J4">
        <f>'Lịch Tập'!G10</f>
        <v>750</v>
      </c>
      <c r="L4" t="str">
        <f>'Các Bài Tập'!C5</f>
        <v>BB Incline Press</v>
      </c>
      <c r="M4" s="2" t="str">
        <f>'Các Bài Tập'!$C$2</f>
        <v>Chest</v>
      </c>
      <c r="N4" s="2" t="str">
        <f>'Các Bài Tập'!$C$3</f>
        <v>Upper Chest</v>
      </c>
    </row>
    <row r="5" spans="2:14" ht="12.75" customHeight="1" x14ac:dyDescent="0.2">
      <c r="B5" s="2" t="s">
        <v>163</v>
      </c>
      <c r="C5" s="2" t="str">
        <f t="shared" ref="C5:C38" si="0">$C$3</f>
        <v>Week 1</v>
      </c>
      <c r="D5" t="str">
        <f>'Lịch Tập'!C16</f>
        <v>DB Incline Press</v>
      </c>
      <c r="E5" t="str">
        <f>VLOOKUP(Table2[[#This Row],[Exercise]],Table1[],2,FALSE)</f>
        <v>Chest</v>
      </c>
      <c r="F5" t="str">
        <f>VLOOKUP(Table2[[#This Row],[Exercise]],Table1[],3,FALSE)</f>
        <v>Upper Chest</v>
      </c>
      <c r="G5" t="str">
        <f>IF(LEN(Table2[[#This Row],[Exercise]])&gt;1,Table2[[#This Row],[Nhóm cơ Sript]],$E$3)</f>
        <v>Chest</v>
      </c>
      <c r="H5" t="str">
        <f>IF(LEN(Table2[[#This Row],[Exercise]])&gt;1,Table2[[#This Row],[Detail Script]],$F$3)</f>
        <v>Upper Chest</v>
      </c>
      <c r="I5">
        <f>'Lịch Tập'!F16</f>
        <v>4</v>
      </c>
      <c r="J5">
        <f>'Lịch Tập'!G16</f>
        <v>750</v>
      </c>
      <c r="L5" t="str">
        <f>'Các Bài Tập'!C6</f>
        <v>Cable Fly UPC</v>
      </c>
      <c r="M5" s="2" t="str">
        <f>'Các Bài Tập'!$C$2</f>
        <v>Chest</v>
      </c>
      <c r="N5" s="2" t="str">
        <f>'Các Bài Tập'!$C$3</f>
        <v>Upper Chest</v>
      </c>
    </row>
    <row r="6" spans="2:14" ht="12.75" customHeight="1" x14ac:dyDescent="0.2">
      <c r="B6" s="2" t="s">
        <v>163</v>
      </c>
      <c r="C6" s="2" t="str">
        <f t="shared" si="0"/>
        <v>Week 1</v>
      </c>
      <c r="D6" t="str">
        <f>'Lịch Tập'!C22</f>
        <v>Cable Row</v>
      </c>
      <c r="E6" t="str">
        <f>VLOOKUP(Table2[[#This Row],[Exercise]],Table1[],2,FALSE)</f>
        <v>Back</v>
      </c>
      <c r="F6" t="str">
        <f>VLOOKUP(Table2[[#This Row],[Exercise]],Table1[],3,FALSE)</f>
        <v>Lats</v>
      </c>
      <c r="G6" t="str">
        <f>IF(LEN(Table2[[#This Row],[Exercise]])&gt;1,Table2[[#This Row],[Nhóm cơ Sript]],$E$3)</f>
        <v>Back</v>
      </c>
      <c r="H6" t="str">
        <f>IF(LEN(Table2[[#This Row],[Exercise]])&gt;1,Table2[[#This Row],[Detail Script]],$F$3)</f>
        <v>Lats</v>
      </c>
      <c r="I6">
        <f>'Lịch Tập'!F22</f>
        <v>3</v>
      </c>
      <c r="J6">
        <f>'Lịch Tập'!G22</f>
        <v>750</v>
      </c>
      <c r="L6" t="str">
        <f>'Các Bài Tập'!C7</f>
        <v>DB Fly UPC</v>
      </c>
      <c r="M6" s="2" t="str">
        <f>'Các Bài Tập'!$C$2</f>
        <v>Chest</v>
      </c>
      <c r="N6" s="2" t="str">
        <f>'Các Bài Tập'!$C$3</f>
        <v>Upper Chest</v>
      </c>
    </row>
    <row r="7" spans="2:14" ht="12.75" customHeight="1" x14ac:dyDescent="0.2">
      <c r="B7" s="2" t="s">
        <v>163</v>
      </c>
      <c r="C7" s="2" t="str">
        <f t="shared" si="0"/>
        <v>Week 1</v>
      </c>
      <c r="D7" t="str">
        <f>'Lịch Tập'!C28</f>
        <v>Plank</v>
      </c>
      <c r="E7" t="str">
        <f>VLOOKUP(Table2[[#This Row],[Exercise]],Table1[],2,FALSE)</f>
        <v>Core</v>
      </c>
      <c r="F7" t="str">
        <f>VLOOKUP(Table2[[#This Row],[Exercise]],Table1[],3,FALSE)</f>
        <v>Abs</v>
      </c>
      <c r="G7" t="str">
        <f>IF(LEN(Table2[[#This Row],[Exercise]])&gt;1,Table2[[#This Row],[Nhóm cơ Sript]],$E$3)</f>
        <v>Core</v>
      </c>
      <c r="H7" t="str">
        <f>IF(LEN(Table2[[#This Row],[Exercise]])&gt;1,Table2[[#This Row],[Detail Script]],$F$3)</f>
        <v>Abs</v>
      </c>
      <c r="I7">
        <f>'Lịch Tập'!F28</f>
        <v>0</v>
      </c>
      <c r="J7">
        <f>'Lịch Tập'!G28</f>
        <v>0</v>
      </c>
      <c r="L7" t="str">
        <f>'Các Bài Tập'!C8</f>
        <v>Push Up UPC</v>
      </c>
      <c r="M7" s="2" t="str">
        <f>'Các Bài Tập'!$C$2</f>
        <v>Chest</v>
      </c>
      <c r="N7" s="2" t="str">
        <f>'Các Bài Tập'!$C$3</f>
        <v>Upper Chest</v>
      </c>
    </row>
    <row r="8" spans="2:14" x14ac:dyDescent="0.2">
      <c r="B8" s="2" t="s">
        <v>163</v>
      </c>
      <c r="C8" s="2" t="str">
        <f t="shared" si="0"/>
        <v>Week 1</v>
      </c>
      <c r="D8">
        <f>'Lịch Tập'!C34</f>
        <v>0</v>
      </c>
      <c r="E8" t="str">
        <f>VLOOKUP(Table2[[#This Row],[Exercise]],Table1[],2,FALSE)</f>
        <v>Chest</v>
      </c>
      <c r="F8" t="str">
        <f>VLOOKUP(Table2[[#This Row],[Exercise]],Table1[],3,FALSE)</f>
        <v>Upper Chest</v>
      </c>
      <c r="G8" t="str">
        <f>IF(LEN(Table2[[#This Row],[Exercise]])&gt;1,Table2[[#This Row],[Nhóm cơ Sript]],$E$3)</f>
        <v>Leg</v>
      </c>
      <c r="H8" t="str">
        <f>IF(LEN(Table2[[#This Row],[Exercise]])&gt;1,Table2[[#This Row],[Detail Script]],$F$3)</f>
        <v>Quads</v>
      </c>
      <c r="I8">
        <f>'Lịch Tập'!F34</f>
        <v>0</v>
      </c>
      <c r="J8">
        <f>'Lịch Tập'!G34</f>
        <v>0</v>
      </c>
      <c r="L8">
        <f>'Các Bài Tập'!C9</f>
        <v>0</v>
      </c>
      <c r="M8" s="2" t="str">
        <f>'Các Bài Tập'!$C$2</f>
        <v>Chest</v>
      </c>
      <c r="N8" s="2" t="str">
        <f>'Các Bài Tập'!$C$3</f>
        <v>Upper Chest</v>
      </c>
    </row>
    <row r="9" spans="2:14" x14ac:dyDescent="0.2">
      <c r="B9" s="2" t="s">
        <v>164</v>
      </c>
      <c r="C9" s="2" t="str">
        <f t="shared" si="0"/>
        <v>Week 1</v>
      </c>
      <c r="D9" t="str">
        <f>'Lịch Tập'!C40</f>
        <v>BB Bench Press</v>
      </c>
      <c r="E9" t="str">
        <f>VLOOKUP(Table2[[#This Row],[Exercise]],Table1[],2,FALSE)</f>
        <v>Chest</v>
      </c>
      <c r="F9" t="str">
        <f>VLOOKUP(Table2[[#This Row],[Exercise]],Table1[],3,FALSE)</f>
        <v>Middle Chest</v>
      </c>
      <c r="G9" t="str">
        <f>IF(LEN(Table2[[#This Row],[Exercise]])&gt;1,Table2[[#This Row],[Nhóm cơ Sript]],$E$3)</f>
        <v>Chest</v>
      </c>
      <c r="H9" t="str">
        <f>IF(LEN(Table2[[#This Row],[Exercise]])&gt;1,Table2[[#This Row],[Detail Script]],$F$3)</f>
        <v>Middle Chest</v>
      </c>
      <c r="I9">
        <f>'Lịch Tập'!F40</f>
        <v>4</v>
      </c>
      <c r="J9">
        <f>'Lịch Tập'!G40</f>
        <v>360</v>
      </c>
      <c r="L9">
        <f>'Các Bài Tập'!C10</f>
        <v>0</v>
      </c>
      <c r="M9" s="2" t="str">
        <f>'Các Bài Tập'!$C$2</f>
        <v>Chest</v>
      </c>
      <c r="N9" s="2" t="str">
        <f>'Các Bài Tập'!$C$3</f>
        <v>Upper Chest</v>
      </c>
    </row>
    <row r="10" spans="2:14" x14ac:dyDescent="0.2">
      <c r="B10" s="2" t="s">
        <v>164</v>
      </c>
      <c r="C10" s="2" t="str">
        <f t="shared" si="0"/>
        <v>Week 1</v>
      </c>
      <c r="D10" t="str">
        <f>'Lịch Tập'!C46</f>
        <v xml:space="preserve">Cable Fly </v>
      </c>
      <c r="E10" t="str">
        <f>VLOOKUP(Table2[[#This Row],[Exercise]],Table1[],2,FALSE)</f>
        <v>Chest</v>
      </c>
      <c r="F10" t="str">
        <f>VLOOKUP(Table2[[#This Row],[Exercise]],Table1[],3,FALSE)</f>
        <v>Middle Chest</v>
      </c>
      <c r="G10" t="str">
        <f>IF(LEN(Table2[[#This Row],[Exercise]])&gt;1,Table2[[#This Row],[Nhóm cơ Sript]],$E$3)</f>
        <v>Chest</v>
      </c>
      <c r="H10" t="str">
        <f>IF(LEN(Table2[[#This Row],[Exercise]])&gt;1,Table2[[#This Row],[Detail Script]],$F$3)</f>
        <v>Middle Chest</v>
      </c>
      <c r="I10">
        <f>'Lịch Tập'!F46</f>
        <v>3</v>
      </c>
      <c r="J10">
        <f>'Lịch Tập'!G46</f>
        <v>780</v>
      </c>
      <c r="L10">
        <f>'Các Bài Tập'!C11</f>
        <v>0</v>
      </c>
      <c r="M10" s="2" t="str">
        <f>'Các Bài Tập'!$C$2</f>
        <v>Chest</v>
      </c>
      <c r="N10" s="2" t="str">
        <f>'Các Bài Tập'!$C$3</f>
        <v>Upper Chest</v>
      </c>
    </row>
    <row r="11" spans="2:14" x14ac:dyDescent="0.2">
      <c r="B11" s="2" t="s">
        <v>164</v>
      </c>
      <c r="C11" s="2" t="str">
        <f t="shared" si="0"/>
        <v>Week 1</v>
      </c>
      <c r="D11" t="str">
        <f>'Lịch Tập'!C52</f>
        <v>Conventional Deadlift</v>
      </c>
      <c r="E11" t="str">
        <f>VLOOKUP(Table2[[#This Row],[Exercise]],Table1[],2,FALSE)</f>
        <v>Leg</v>
      </c>
      <c r="F11" t="str">
        <f>VLOOKUP(Table2[[#This Row],[Exercise]],Table1[],3,FALSE)</f>
        <v>Hamstring</v>
      </c>
      <c r="G11" t="str">
        <f>IF(LEN(Table2[[#This Row],[Exercise]])&gt;1,Table2[[#This Row],[Nhóm cơ Sript]],$E$3)</f>
        <v>Leg</v>
      </c>
      <c r="H11" t="str">
        <f>IF(LEN(Table2[[#This Row],[Exercise]])&gt;1,Table2[[#This Row],[Detail Script]],$F$3)</f>
        <v>Hamstring</v>
      </c>
      <c r="I11">
        <f>'Lịch Tập'!F52</f>
        <v>0</v>
      </c>
      <c r="J11">
        <f>'Lịch Tập'!G52</f>
        <v>0</v>
      </c>
      <c r="L11">
        <f>'Các Bài Tập'!C12</f>
        <v>0</v>
      </c>
      <c r="M11" s="2" t="str">
        <f>'Các Bài Tập'!$C$2</f>
        <v>Chest</v>
      </c>
      <c r="N11" s="2" t="str">
        <f>'Các Bài Tập'!$C$3</f>
        <v>Upper Chest</v>
      </c>
    </row>
    <row r="12" spans="2:14" x14ac:dyDescent="0.2">
      <c r="B12" s="2" t="s">
        <v>164</v>
      </c>
      <c r="C12" s="2" t="str">
        <f t="shared" si="0"/>
        <v>Week 1</v>
      </c>
      <c r="D12" t="str">
        <f>'Lịch Tập'!C58</f>
        <v>Lat Pull Down</v>
      </c>
      <c r="E12" t="str">
        <f>VLOOKUP(Table2[[#This Row],[Exercise]],Table1[],2,FALSE)</f>
        <v>Back</v>
      </c>
      <c r="F12" t="str">
        <f>VLOOKUP(Table2[[#This Row],[Exercise]],Table1[],3,FALSE)</f>
        <v>Lats</v>
      </c>
      <c r="G12" t="str">
        <f>IF(LEN(Table2[[#This Row],[Exercise]])&gt;1,Table2[[#This Row],[Nhóm cơ Sript]],$E$3)</f>
        <v>Back</v>
      </c>
      <c r="H12" t="str">
        <f>IF(LEN(Table2[[#This Row],[Exercise]])&gt;1,Table2[[#This Row],[Detail Script]],$F$3)</f>
        <v>Lats</v>
      </c>
      <c r="I12">
        <f>'Lịch Tập'!F58</f>
        <v>0</v>
      </c>
      <c r="J12">
        <f>'Lịch Tập'!G58</f>
        <v>0</v>
      </c>
      <c r="L12">
        <f>'Các Bài Tập'!C13</f>
        <v>0</v>
      </c>
      <c r="M12" s="2" t="str">
        <f>'Các Bài Tập'!$C$2</f>
        <v>Chest</v>
      </c>
      <c r="N12" s="2" t="str">
        <f>'Các Bài Tập'!$C$3</f>
        <v>Upper Chest</v>
      </c>
    </row>
    <row r="13" spans="2:14" x14ac:dyDescent="0.2">
      <c r="B13" s="2" t="s">
        <v>164</v>
      </c>
      <c r="C13" s="2" t="str">
        <f t="shared" si="0"/>
        <v>Week 1</v>
      </c>
      <c r="D13" t="str">
        <f>'Lịch Tập'!C64</f>
        <v>Crunch</v>
      </c>
      <c r="E13" t="str">
        <f>VLOOKUP(Table2[[#This Row],[Exercise]],Table1[],2,FALSE)</f>
        <v>Core</v>
      </c>
      <c r="F13" t="str">
        <f>VLOOKUP(Table2[[#This Row],[Exercise]],Table1[],3,FALSE)</f>
        <v>Abs</v>
      </c>
      <c r="G13" t="str">
        <f>IF(LEN(Table2[[#This Row],[Exercise]])&gt;1,Table2[[#This Row],[Nhóm cơ Sript]],$E$3)</f>
        <v>Core</v>
      </c>
      <c r="H13" t="str">
        <f>IF(LEN(Table2[[#This Row],[Exercise]])&gt;1,Table2[[#This Row],[Detail Script]],$F$3)</f>
        <v>Abs</v>
      </c>
      <c r="I13">
        <f>'Lịch Tập'!F64</f>
        <v>0</v>
      </c>
      <c r="J13">
        <f>'Lịch Tập'!G64</f>
        <v>0</v>
      </c>
      <c r="L13">
        <f>'Các Bài Tập'!C14</f>
        <v>0</v>
      </c>
      <c r="M13" s="2" t="str">
        <f>'Các Bài Tập'!$C$2</f>
        <v>Chest</v>
      </c>
      <c r="N13" s="2" t="str">
        <f>'Các Bài Tập'!$C$3</f>
        <v>Upper Chest</v>
      </c>
    </row>
    <row r="14" spans="2:14" x14ac:dyDescent="0.2">
      <c r="B14" s="2" t="s">
        <v>164</v>
      </c>
      <c r="C14" s="2" t="str">
        <f t="shared" si="0"/>
        <v>Week 1</v>
      </c>
      <c r="D14">
        <f>'Lịch Tập'!C70</f>
        <v>0</v>
      </c>
      <c r="E14" t="str">
        <f>VLOOKUP(Table2[[#This Row],[Exercise]],Table1[],2,FALSE)</f>
        <v>Chest</v>
      </c>
      <c r="F14" t="str">
        <f>VLOOKUP(Table2[[#This Row],[Exercise]],Table1[],3,FALSE)</f>
        <v>Upper Chest</v>
      </c>
      <c r="G14" t="str">
        <f>IF(LEN(Table2[[#This Row],[Exercise]])&gt;1,Table2[[#This Row],[Nhóm cơ Sript]],$E$3)</f>
        <v>Leg</v>
      </c>
      <c r="H14" t="str">
        <f>IF(LEN(Table2[[#This Row],[Exercise]])&gt;1,Table2[[#This Row],[Detail Script]],$F$3)</f>
        <v>Quads</v>
      </c>
      <c r="I14">
        <f>'Lịch Tập'!F70</f>
        <v>0</v>
      </c>
      <c r="J14">
        <f>'Lịch Tập'!G70</f>
        <v>0</v>
      </c>
      <c r="L14">
        <f>'Các Bài Tập'!C15</f>
        <v>0</v>
      </c>
      <c r="M14" s="2" t="str">
        <f>'Các Bài Tập'!$C$2</f>
        <v>Chest</v>
      </c>
      <c r="N14" s="2" t="str">
        <f>'Các Bài Tập'!$C$3</f>
        <v>Upper Chest</v>
      </c>
    </row>
    <row r="15" spans="2:14" x14ac:dyDescent="0.2">
      <c r="B15" s="2" t="s">
        <v>165</v>
      </c>
      <c r="C15" s="2" t="str">
        <f t="shared" si="0"/>
        <v>Week 1</v>
      </c>
      <c r="D15" t="str">
        <f>'Lịch Tập'!C76</f>
        <v>Pull Up</v>
      </c>
      <c r="E15" t="str">
        <f>VLOOKUP(Table2[[#This Row],[Exercise]],Table1[],2,FALSE)</f>
        <v>Back</v>
      </c>
      <c r="F15" t="str">
        <f>VLOOKUP(Table2[[#This Row],[Exercise]],Table1[],3,FALSE)</f>
        <v>Lats</v>
      </c>
      <c r="G15" t="str">
        <f>IF(LEN(Table2[[#This Row],[Exercise]])&gt;1,Table2[[#This Row],[Nhóm cơ Sript]],$E$3)</f>
        <v>Back</v>
      </c>
      <c r="H15" t="str">
        <f>IF(LEN(Table2[[#This Row],[Exercise]])&gt;1,Table2[[#This Row],[Detail Script]],$F$3)</f>
        <v>Lats</v>
      </c>
      <c r="I15">
        <f>'Lịch Tập'!F76</f>
        <v>4</v>
      </c>
      <c r="J15">
        <f>'Lịch Tập'!G76</f>
        <v>360</v>
      </c>
      <c r="L15">
        <f>'Các Bài Tập'!C16</f>
        <v>0</v>
      </c>
      <c r="M15" s="2" t="str">
        <f>'Các Bài Tập'!$C$2</f>
        <v>Chest</v>
      </c>
      <c r="N15" s="2" t="str">
        <f>'Các Bài Tập'!$C$3</f>
        <v>Upper Chest</v>
      </c>
    </row>
    <row r="16" spans="2:14" x14ac:dyDescent="0.2">
      <c r="B16" s="2" t="s">
        <v>165</v>
      </c>
      <c r="C16" s="2" t="str">
        <f t="shared" si="0"/>
        <v>Week 1</v>
      </c>
      <c r="D16" t="str">
        <f>'Lịch Tập'!C82</f>
        <v>Cable Upright Row</v>
      </c>
      <c r="E16" t="str">
        <f>VLOOKUP(Table2[[#This Row],[Exercise]],Table1[],2,FALSE)</f>
        <v>Back</v>
      </c>
      <c r="F16" t="str">
        <f>VLOOKUP(Table2[[#This Row],[Exercise]],Table1[],3,FALSE)</f>
        <v>Lats</v>
      </c>
      <c r="G16" t="str">
        <f>IF(LEN(Table2[[#This Row],[Exercise]])&gt;1,Table2[[#This Row],[Nhóm cơ Sript]],$E$3)</f>
        <v>Back</v>
      </c>
      <c r="H16" t="str">
        <f>IF(LEN(Table2[[#This Row],[Exercise]])&gt;1,Table2[[#This Row],[Detail Script]],$F$3)</f>
        <v>Lats</v>
      </c>
      <c r="I16">
        <f>'Lịch Tập'!F82</f>
        <v>3</v>
      </c>
      <c r="J16">
        <f>'Lịch Tập'!G82</f>
        <v>585</v>
      </c>
      <c r="L16" t="str">
        <f>'Các Bài Tập'!D4</f>
        <v>DB Bench Press</v>
      </c>
      <c r="M16" s="2" t="str">
        <f>'Các Bài Tập'!$C$2</f>
        <v>Chest</v>
      </c>
      <c r="N16" s="2" t="str">
        <f>'Các Bài Tập'!$D$3</f>
        <v>Middle Chest</v>
      </c>
    </row>
    <row r="17" spans="2:14" x14ac:dyDescent="0.2">
      <c r="B17" s="2" t="s">
        <v>165</v>
      </c>
      <c r="C17" s="2" t="str">
        <f t="shared" si="0"/>
        <v>Week 1</v>
      </c>
      <c r="D17" t="str">
        <f>'Lịch Tập'!C88</f>
        <v>Leg Press</v>
      </c>
      <c r="E17" t="str">
        <f>VLOOKUP(Table2[[#This Row],[Exercise]],Table1[],2,FALSE)</f>
        <v>Leg</v>
      </c>
      <c r="F17" t="str">
        <f>VLOOKUP(Table2[[#This Row],[Exercise]],Table1[],3,FALSE)</f>
        <v>Quads</v>
      </c>
      <c r="G17" t="str">
        <f>IF(LEN(Table2[[#This Row],[Exercise]])&gt;1,Table2[[#This Row],[Nhóm cơ Sript]],$E$3)</f>
        <v>Leg</v>
      </c>
      <c r="H17" t="str">
        <f>IF(LEN(Table2[[#This Row],[Exercise]])&gt;1,Table2[[#This Row],[Detail Script]],$F$3)</f>
        <v>Quads</v>
      </c>
      <c r="I17">
        <f>'Lịch Tập'!F88</f>
        <v>3</v>
      </c>
      <c r="J17">
        <f>'Lịch Tập'!G88</f>
        <v>390</v>
      </c>
      <c r="L17" t="str">
        <f>'Các Bài Tập'!D5</f>
        <v>BB Bench Press</v>
      </c>
      <c r="M17" s="2" t="str">
        <f>'Các Bài Tập'!$C$2</f>
        <v>Chest</v>
      </c>
      <c r="N17" s="2" t="str">
        <f>'Các Bài Tập'!$D$3</f>
        <v>Middle Chest</v>
      </c>
    </row>
    <row r="18" spans="2:14" x14ac:dyDescent="0.2">
      <c r="B18" s="2" t="s">
        <v>165</v>
      </c>
      <c r="C18" s="2" t="str">
        <f t="shared" si="0"/>
        <v>Week 1</v>
      </c>
      <c r="D18" t="str">
        <f>'Lịch Tập'!C94</f>
        <v>Shoulder Press Machine</v>
      </c>
      <c r="E18" t="str">
        <f>VLOOKUP(Table2[[#This Row],[Exercise]],Table1[],2,FALSE)</f>
        <v>Shoulder</v>
      </c>
      <c r="F18" t="str">
        <f>VLOOKUP(Table2[[#This Row],[Exercise]],Table1[],3,FALSE)</f>
        <v>Front Delt</v>
      </c>
      <c r="G18" t="str">
        <f>IF(LEN(Table2[[#This Row],[Exercise]])&gt;1,Table2[[#This Row],[Nhóm cơ Sript]],$E$3)</f>
        <v>Shoulder</v>
      </c>
      <c r="H18" t="str">
        <f>IF(LEN(Table2[[#This Row],[Exercise]])&gt;1,Table2[[#This Row],[Detail Script]],$F$3)</f>
        <v>Front Delt</v>
      </c>
      <c r="I18">
        <f>'Lịch Tập'!F94</f>
        <v>3</v>
      </c>
      <c r="J18">
        <f>'Lịch Tập'!G94</f>
        <v>390</v>
      </c>
      <c r="L18" t="str">
        <f>'Các Bài Tập'!D6</f>
        <v xml:space="preserve">Cable Fly </v>
      </c>
      <c r="M18" s="2" t="str">
        <f>'Các Bài Tập'!$C$2</f>
        <v>Chest</v>
      </c>
      <c r="N18" s="2" t="str">
        <f>'Các Bài Tập'!$D$3</f>
        <v>Middle Chest</v>
      </c>
    </row>
    <row r="19" spans="2:14" x14ac:dyDescent="0.2">
      <c r="B19" s="2" t="s">
        <v>165</v>
      </c>
      <c r="C19" s="2" t="str">
        <f t="shared" si="0"/>
        <v>Week 1</v>
      </c>
      <c r="D19" t="str">
        <f>'Lịch Tập'!C100</f>
        <v>Hanging Leg Raise</v>
      </c>
      <c r="E19" t="str">
        <f>VLOOKUP(Table2[[#This Row],[Exercise]],Table1[],2,FALSE)</f>
        <v>Core</v>
      </c>
      <c r="F19" t="str">
        <f>VLOOKUP(Table2[[#This Row],[Exercise]],Table1[],3,FALSE)</f>
        <v>Abs</v>
      </c>
      <c r="G19" t="str">
        <f>IF(LEN(Table2[[#This Row],[Exercise]])&gt;1,Table2[[#This Row],[Nhóm cơ Sript]],$E$3)</f>
        <v>Core</v>
      </c>
      <c r="H19" t="str">
        <f>IF(LEN(Table2[[#This Row],[Exercise]])&gt;1,Table2[[#This Row],[Detail Script]],$F$3)</f>
        <v>Abs</v>
      </c>
      <c r="I19">
        <f>'Lịch Tập'!F100</f>
        <v>3</v>
      </c>
      <c r="J19">
        <f>'Lịch Tập'!G100</f>
        <v>360</v>
      </c>
      <c r="L19" t="str">
        <f>'Các Bài Tập'!D7</f>
        <v>DB Fly</v>
      </c>
      <c r="M19" s="2" t="str">
        <f>'Các Bài Tập'!$C$2</f>
        <v>Chest</v>
      </c>
      <c r="N19" s="2" t="str">
        <f>'Các Bài Tập'!$D$3</f>
        <v>Middle Chest</v>
      </c>
    </row>
    <row r="20" spans="2:14" x14ac:dyDescent="0.2">
      <c r="B20" s="2" t="s">
        <v>165</v>
      </c>
      <c r="C20" s="2" t="str">
        <f t="shared" si="0"/>
        <v>Week 1</v>
      </c>
      <c r="D20">
        <f>'Lịch Tập'!C106</f>
        <v>0</v>
      </c>
      <c r="E20" t="str">
        <f>VLOOKUP(Table2[[#This Row],[Exercise]],Table1[],2,FALSE)</f>
        <v>Chest</v>
      </c>
      <c r="F20" t="str">
        <f>VLOOKUP(Table2[[#This Row],[Exercise]],Table1[],3,FALSE)</f>
        <v>Upper Chest</v>
      </c>
      <c r="G20" t="str">
        <f>IF(LEN(Table2[[#This Row],[Exercise]])&gt;1,Table2[[#This Row],[Nhóm cơ Sript]],$E$3)</f>
        <v>Leg</v>
      </c>
      <c r="H20" t="str">
        <f>IF(LEN(Table2[[#This Row],[Exercise]])&gt;1,Table2[[#This Row],[Detail Script]],$F$3)</f>
        <v>Quads</v>
      </c>
      <c r="I20">
        <f>'Lịch Tập'!F106</f>
        <v>0</v>
      </c>
      <c r="J20">
        <f>'Lịch Tập'!G106</f>
        <v>0</v>
      </c>
      <c r="L20" t="str">
        <f>'Các Bài Tập'!D8</f>
        <v>Push Up</v>
      </c>
      <c r="M20" s="2" t="str">
        <f>'Các Bài Tập'!$C$2</f>
        <v>Chest</v>
      </c>
      <c r="N20" s="2" t="str">
        <f>'Các Bài Tập'!$D$3</f>
        <v>Middle Chest</v>
      </c>
    </row>
    <row r="21" spans="2:14" x14ac:dyDescent="0.2">
      <c r="B21" s="2" t="s">
        <v>166</v>
      </c>
      <c r="C21" s="2" t="str">
        <f t="shared" si="0"/>
        <v>Week 1</v>
      </c>
      <c r="D21">
        <f>'Lịch Tập'!C112</f>
        <v>0</v>
      </c>
      <c r="E21" t="str">
        <f>VLOOKUP(Table2[[#This Row],[Exercise]],Table1[],2,FALSE)</f>
        <v>Chest</v>
      </c>
      <c r="F21" t="str">
        <f>VLOOKUP(Table2[[#This Row],[Exercise]],Table1[],3,FALSE)</f>
        <v>Upper Chest</v>
      </c>
      <c r="G21" t="str">
        <f>IF(LEN(Table2[[#This Row],[Exercise]])&gt;1,Table2[[#This Row],[Nhóm cơ Sript]],$E$3)</f>
        <v>Leg</v>
      </c>
      <c r="H21" t="str">
        <f>IF(LEN(Table2[[#This Row],[Exercise]])&gt;1,Table2[[#This Row],[Detail Script]],$F$3)</f>
        <v>Quads</v>
      </c>
      <c r="I21">
        <f>'Lịch Tập'!F112</f>
        <v>0</v>
      </c>
      <c r="J21">
        <f>'Lịch Tập'!G112</f>
        <v>0</v>
      </c>
      <c r="L21">
        <f>'Các Bài Tập'!D9</f>
        <v>0</v>
      </c>
      <c r="M21" s="2" t="str">
        <f>'Các Bài Tập'!$C$2</f>
        <v>Chest</v>
      </c>
      <c r="N21" s="2" t="str">
        <f>'Các Bài Tập'!$D$3</f>
        <v>Middle Chest</v>
      </c>
    </row>
    <row r="22" spans="2:14" x14ac:dyDescent="0.2">
      <c r="B22" s="2" t="s">
        <v>166</v>
      </c>
      <c r="C22" s="2" t="str">
        <f t="shared" si="0"/>
        <v>Week 1</v>
      </c>
      <c r="D22">
        <f>'Lịch Tập'!C118</f>
        <v>0</v>
      </c>
      <c r="E22" t="str">
        <f>VLOOKUP(Table2[[#This Row],[Exercise]],Table1[],2,FALSE)</f>
        <v>Chest</v>
      </c>
      <c r="F22" t="str">
        <f>VLOOKUP(Table2[[#This Row],[Exercise]],Table1[],3,FALSE)</f>
        <v>Upper Chest</v>
      </c>
      <c r="G22" t="str">
        <f>IF(LEN(Table2[[#This Row],[Exercise]])&gt;1,Table2[[#This Row],[Nhóm cơ Sript]],$E$3)</f>
        <v>Leg</v>
      </c>
      <c r="H22" t="str">
        <f>IF(LEN(Table2[[#This Row],[Exercise]])&gt;1,Table2[[#This Row],[Detail Script]],$F$3)</f>
        <v>Quads</v>
      </c>
      <c r="I22">
        <f>'Lịch Tập'!F118</f>
        <v>0</v>
      </c>
      <c r="J22">
        <f>'Lịch Tập'!G118</f>
        <v>0</v>
      </c>
      <c r="L22">
        <f>'Các Bài Tập'!D10</f>
        <v>0</v>
      </c>
      <c r="M22" s="2" t="str">
        <f>'Các Bài Tập'!$C$2</f>
        <v>Chest</v>
      </c>
      <c r="N22" s="2" t="str">
        <f>'Các Bài Tập'!$D$3</f>
        <v>Middle Chest</v>
      </c>
    </row>
    <row r="23" spans="2:14" x14ac:dyDescent="0.2">
      <c r="B23" s="2" t="s">
        <v>166</v>
      </c>
      <c r="C23" s="2" t="str">
        <f t="shared" si="0"/>
        <v>Week 1</v>
      </c>
      <c r="D23">
        <f>'Lịch Tập'!C124</f>
        <v>0</v>
      </c>
      <c r="E23" t="str">
        <f>VLOOKUP(Table2[[#This Row],[Exercise]],Table1[],2,FALSE)</f>
        <v>Chest</v>
      </c>
      <c r="F23" t="str">
        <f>VLOOKUP(Table2[[#This Row],[Exercise]],Table1[],3,FALSE)</f>
        <v>Upper Chest</v>
      </c>
      <c r="G23" t="str">
        <f>IF(LEN(Table2[[#This Row],[Exercise]])&gt;1,Table2[[#This Row],[Nhóm cơ Sript]],$E$3)</f>
        <v>Leg</v>
      </c>
      <c r="H23" t="str">
        <f>IF(LEN(Table2[[#This Row],[Exercise]])&gt;1,Table2[[#This Row],[Detail Script]],$F$3)</f>
        <v>Quads</v>
      </c>
      <c r="I23">
        <f>'Lịch Tập'!F124</f>
        <v>0</v>
      </c>
      <c r="J23">
        <f>'Lịch Tập'!G124</f>
        <v>0</v>
      </c>
      <c r="L23">
        <f>'Các Bài Tập'!D11</f>
        <v>0</v>
      </c>
      <c r="M23" s="2" t="str">
        <f>'Các Bài Tập'!$C$2</f>
        <v>Chest</v>
      </c>
      <c r="N23" s="2" t="str">
        <f>'Các Bài Tập'!$D$3</f>
        <v>Middle Chest</v>
      </c>
    </row>
    <row r="24" spans="2:14" x14ac:dyDescent="0.2">
      <c r="B24" s="2" t="s">
        <v>166</v>
      </c>
      <c r="C24" s="2" t="str">
        <f t="shared" si="0"/>
        <v>Week 1</v>
      </c>
      <c r="D24">
        <f>'Lịch Tập'!C130</f>
        <v>0</v>
      </c>
      <c r="E24" t="str">
        <f>VLOOKUP(Table2[[#This Row],[Exercise]],Table1[],2,FALSE)</f>
        <v>Chest</v>
      </c>
      <c r="F24" t="str">
        <f>VLOOKUP(Table2[[#This Row],[Exercise]],Table1[],3,FALSE)</f>
        <v>Upper Chest</v>
      </c>
      <c r="G24" t="str">
        <f>IF(LEN(Table2[[#This Row],[Exercise]])&gt;1,Table2[[#This Row],[Nhóm cơ Sript]],$E$3)</f>
        <v>Leg</v>
      </c>
      <c r="H24" t="str">
        <f>IF(LEN(Table2[[#This Row],[Exercise]])&gt;1,Table2[[#This Row],[Detail Script]],$F$3)</f>
        <v>Quads</v>
      </c>
      <c r="I24">
        <f>'Lịch Tập'!F130</f>
        <v>0</v>
      </c>
      <c r="J24">
        <f>'Lịch Tập'!G130</f>
        <v>0</v>
      </c>
      <c r="L24">
        <f>'Các Bài Tập'!D12</f>
        <v>0</v>
      </c>
      <c r="M24" s="2" t="str">
        <f>'Các Bài Tập'!$C$2</f>
        <v>Chest</v>
      </c>
      <c r="N24" s="2" t="str">
        <f>'Các Bài Tập'!$D$3</f>
        <v>Middle Chest</v>
      </c>
    </row>
    <row r="25" spans="2:14" x14ac:dyDescent="0.2">
      <c r="B25" s="2" t="s">
        <v>166</v>
      </c>
      <c r="C25" s="2" t="str">
        <f t="shared" si="0"/>
        <v>Week 1</v>
      </c>
      <c r="D25">
        <f>'Lịch Tập'!C136</f>
        <v>0</v>
      </c>
      <c r="E25" t="str">
        <f>VLOOKUP(Table2[[#This Row],[Exercise]],Table1[],2,FALSE)</f>
        <v>Chest</v>
      </c>
      <c r="F25" t="str">
        <f>VLOOKUP(Table2[[#This Row],[Exercise]],Table1[],3,FALSE)</f>
        <v>Upper Chest</v>
      </c>
      <c r="G25" t="str">
        <f>IF(LEN(Table2[[#This Row],[Exercise]])&gt;1,Table2[[#This Row],[Nhóm cơ Sript]],$E$3)</f>
        <v>Leg</v>
      </c>
      <c r="H25" t="str">
        <f>IF(LEN(Table2[[#This Row],[Exercise]])&gt;1,Table2[[#This Row],[Detail Script]],$F$3)</f>
        <v>Quads</v>
      </c>
      <c r="I25">
        <f>'Lịch Tập'!F136</f>
        <v>0</v>
      </c>
      <c r="J25">
        <f>'Lịch Tập'!G136</f>
        <v>0</v>
      </c>
      <c r="L25">
        <f>'Các Bài Tập'!D13</f>
        <v>0</v>
      </c>
      <c r="M25" s="2" t="str">
        <f>'Các Bài Tập'!$C$2</f>
        <v>Chest</v>
      </c>
      <c r="N25" s="2" t="str">
        <f>'Các Bài Tập'!$D$3</f>
        <v>Middle Chest</v>
      </c>
    </row>
    <row r="26" spans="2:14" x14ac:dyDescent="0.2">
      <c r="B26" s="2" t="s">
        <v>166</v>
      </c>
      <c r="C26" s="2" t="str">
        <f t="shared" si="0"/>
        <v>Week 1</v>
      </c>
      <c r="D26">
        <f>'Lịch Tập'!C142</f>
        <v>0</v>
      </c>
      <c r="E26" t="str">
        <f>VLOOKUP(Table2[[#This Row],[Exercise]],Table1[],2,FALSE)</f>
        <v>Chest</v>
      </c>
      <c r="F26" t="str">
        <f>VLOOKUP(Table2[[#This Row],[Exercise]],Table1[],3,FALSE)</f>
        <v>Upper Chest</v>
      </c>
      <c r="G26" t="str">
        <f>IF(LEN(Table2[[#This Row],[Exercise]])&gt;1,Table2[[#This Row],[Nhóm cơ Sript]],$E$3)</f>
        <v>Leg</v>
      </c>
      <c r="H26" t="str">
        <f>IF(LEN(Table2[[#This Row],[Exercise]])&gt;1,Table2[[#This Row],[Detail Script]],$F$3)</f>
        <v>Quads</v>
      </c>
      <c r="I26">
        <f>'Lịch Tập'!F142</f>
        <v>0</v>
      </c>
      <c r="J26">
        <f>'Lịch Tập'!G142</f>
        <v>0</v>
      </c>
      <c r="L26">
        <f>'Các Bài Tập'!D14</f>
        <v>0</v>
      </c>
      <c r="M26" s="2" t="str">
        <f>'Các Bài Tập'!$C$2</f>
        <v>Chest</v>
      </c>
      <c r="N26" s="2" t="str">
        <f>'Các Bài Tập'!$D$3</f>
        <v>Middle Chest</v>
      </c>
    </row>
    <row r="27" spans="2:14" x14ac:dyDescent="0.2">
      <c r="B27" s="2" t="s">
        <v>167</v>
      </c>
      <c r="C27" s="2" t="str">
        <f t="shared" si="0"/>
        <v>Week 1</v>
      </c>
      <c r="D27">
        <f>'Lịch Tập'!C148</f>
        <v>0</v>
      </c>
      <c r="E27" t="str">
        <f>VLOOKUP(Table2[[#This Row],[Exercise]],Table1[],2,FALSE)</f>
        <v>Chest</v>
      </c>
      <c r="F27" t="str">
        <f>VLOOKUP(Table2[[#This Row],[Exercise]],Table1[],3,FALSE)</f>
        <v>Upper Chest</v>
      </c>
      <c r="G27" t="str">
        <f>IF(LEN(Table2[[#This Row],[Exercise]])&gt;1,Table2[[#This Row],[Nhóm cơ Sript]],$E$3)</f>
        <v>Leg</v>
      </c>
      <c r="H27" t="str">
        <f>IF(LEN(Table2[[#This Row],[Exercise]])&gt;1,Table2[[#This Row],[Detail Script]],$F$3)</f>
        <v>Quads</v>
      </c>
      <c r="I27">
        <f>'Lịch Tập'!F148</f>
        <v>0</v>
      </c>
      <c r="J27">
        <f>'Lịch Tập'!G148</f>
        <v>0</v>
      </c>
      <c r="L27">
        <f>'Các Bài Tập'!D15</f>
        <v>0</v>
      </c>
      <c r="M27" s="2" t="str">
        <f>'Các Bài Tập'!$C$2</f>
        <v>Chest</v>
      </c>
      <c r="N27" s="2" t="str">
        <f>'Các Bài Tập'!$D$3</f>
        <v>Middle Chest</v>
      </c>
    </row>
    <row r="28" spans="2:14" x14ac:dyDescent="0.2">
      <c r="B28" s="2" t="s">
        <v>167</v>
      </c>
      <c r="C28" s="2" t="str">
        <f t="shared" si="0"/>
        <v>Week 1</v>
      </c>
      <c r="D28">
        <f>'Lịch Tập'!C154</f>
        <v>0</v>
      </c>
      <c r="E28" t="str">
        <f>VLOOKUP(Table2[[#This Row],[Exercise]],Table1[],2,FALSE)</f>
        <v>Chest</v>
      </c>
      <c r="F28" t="str">
        <f>VLOOKUP(Table2[[#This Row],[Exercise]],Table1[],3,FALSE)</f>
        <v>Upper Chest</v>
      </c>
      <c r="G28" t="str">
        <f>IF(LEN(Table2[[#This Row],[Exercise]])&gt;1,Table2[[#This Row],[Nhóm cơ Sript]],$E$3)</f>
        <v>Leg</v>
      </c>
      <c r="H28" t="str">
        <f>IF(LEN(Table2[[#This Row],[Exercise]])&gt;1,Table2[[#This Row],[Detail Script]],$F$3)</f>
        <v>Quads</v>
      </c>
      <c r="I28">
        <f>'Lịch Tập'!F154</f>
        <v>0</v>
      </c>
      <c r="J28">
        <f>'Lịch Tập'!G154</f>
        <v>0</v>
      </c>
      <c r="L28">
        <f>'Các Bài Tập'!D16</f>
        <v>0</v>
      </c>
      <c r="M28" s="2" t="str">
        <f>'Các Bài Tập'!$C$2</f>
        <v>Chest</v>
      </c>
      <c r="N28" s="2" t="str">
        <f>'Các Bài Tập'!$D$3</f>
        <v>Middle Chest</v>
      </c>
    </row>
    <row r="29" spans="2:14" x14ac:dyDescent="0.2">
      <c r="B29" s="2" t="s">
        <v>167</v>
      </c>
      <c r="C29" s="2" t="str">
        <f t="shared" si="0"/>
        <v>Week 1</v>
      </c>
      <c r="D29">
        <f>'Lịch Tập'!C160</f>
        <v>0</v>
      </c>
      <c r="E29" t="str">
        <f>VLOOKUP(Table2[[#This Row],[Exercise]],Table1[],2,FALSE)</f>
        <v>Chest</v>
      </c>
      <c r="F29" t="str">
        <f>VLOOKUP(Table2[[#This Row],[Exercise]],Table1[],3,FALSE)</f>
        <v>Upper Chest</v>
      </c>
      <c r="G29" t="str">
        <f>IF(LEN(Table2[[#This Row],[Exercise]])&gt;1,Table2[[#This Row],[Nhóm cơ Sript]],$E$3)</f>
        <v>Leg</v>
      </c>
      <c r="H29" t="str">
        <f>IF(LEN(Table2[[#This Row],[Exercise]])&gt;1,Table2[[#This Row],[Detail Script]],$F$3)</f>
        <v>Quads</v>
      </c>
      <c r="I29">
        <f>'Lịch Tập'!F160</f>
        <v>0</v>
      </c>
      <c r="J29">
        <f>'Lịch Tập'!G160</f>
        <v>0</v>
      </c>
      <c r="L29" t="str">
        <f>'Các Bài Tập'!E4</f>
        <v>Decline DB Press</v>
      </c>
      <c r="M29" s="2" t="str">
        <f>'Các Bài Tập'!$C$2</f>
        <v>Chest</v>
      </c>
      <c r="N29" s="2" t="str">
        <f>'Các Bài Tập'!$E$3</f>
        <v>Lower Chest</v>
      </c>
    </row>
    <row r="30" spans="2:14" x14ac:dyDescent="0.2">
      <c r="B30" s="2" t="s">
        <v>167</v>
      </c>
      <c r="C30" s="2" t="str">
        <f t="shared" si="0"/>
        <v>Week 1</v>
      </c>
      <c r="D30">
        <f>'Lịch Tập'!C166</f>
        <v>0</v>
      </c>
      <c r="E30" t="str">
        <f>VLOOKUP(Table2[[#This Row],[Exercise]],Table1[],2,FALSE)</f>
        <v>Chest</v>
      </c>
      <c r="F30" t="str">
        <f>VLOOKUP(Table2[[#This Row],[Exercise]],Table1[],3,FALSE)</f>
        <v>Upper Chest</v>
      </c>
      <c r="G30" t="str">
        <f>IF(LEN(Table2[[#This Row],[Exercise]])&gt;1,Table2[[#This Row],[Nhóm cơ Sript]],$E$3)</f>
        <v>Leg</v>
      </c>
      <c r="H30" t="str">
        <f>IF(LEN(Table2[[#This Row],[Exercise]])&gt;1,Table2[[#This Row],[Detail Script]],$F$3)</f>
        <v>Quads</v>
      </c>
      <c r="I30">
        <f>'Lịch Tập'!F166</f>
        <v>0</v>
      </c>
      <c r="J30">
        <f>'Lịch Tập'!G166</f>
        <v>0</v>
      </c>
      <c r="L30" t="str">
        <f>'Các Bài Tập'!E5</f>
        <v>Decline BB Press</v>
      </c>
      <c r="M30" s="2" t="str">
        <f>'Các Bài Tập'!$C$2</f>
        <v>Chest</v>
      </c>
      <c r="N30" s="2" t="str">
        <f>'Các Bài Tập'!$E$3</f>
        <v>Lower Chest</v>
      </c>
    </row>
    <row r="31" spans="2:14" x14ac:dyDescent="0.2">
      <c r="B31" s="2" t="s">
        <v>167</v>
      </c>
      <c r="C31" s="2" t="str">
        <f t="shared" si="0"/>
        <v>Week 1</v>
      </c>
      <c r="D31">
        <f>'Lịch Tập'!C172</f>
        <v>0</v>
      </c>
      <c r="E31" t="str">
        <f>VLOOKUP(Table2[[#This Row],[Exercise]],Table1[],2,FALSE)</f>
        <v>Chest</v>
      </c>
      <c r="F31" t="str">
        <f>VLOOKUP(Table2[[#This Row],[Exercise]],Table1[],3,FALSE)</f>
        <v>Upper Chest</v>
      </c>
      <c r="G31" t="str">
        <f>IF(LEN(Table2[[#This Row],[Exercise]])&gt;1,Table2[[#This Row],[Nhóm cơ Sript]],$E$3)</f>
        <v>Leg</v>
      </c>
      <c r="H31" t="str">
        <f>IF(LEN(Table2[[#This Row],[Exercise]])&gt;1,Table2[[#This Row],[Detail Script]],$F$3)</f>
        <v>Quads</v>
      </c>
      <c r="I31">
        <f>'Lịch Tập'!F172</f>
        <v>0</v>
      </c>
      <c r="J31">
        <f>'Lịch Tập'!G172</f>
        <v>0</v>
      </c>
      <c r="L31" t="str">
        <f>'Các Bài Tập'!E6</f>
        <v>Cable Flye LWC</v>
      </c>
      <c r="M31" s="2" t="str">
        <f>'Các Bài Tập'!$C$2</f>
        <v>Chest</v>
      </c>
      <c r="N31" s="2" t="str">
        <f>'Các Bài Tập'!$E$3</f>
        <v>Lower Chest</v>
      </c>
    </row>
    <row r="32" spans="2:14" x14ac:dyDescent="0.2">
      <c r="B32" s="2" t="s">
        <v>167</v>
      </c>
      <c r="C32" s="2" t="str">
        <f t="shared" si="0"/>
        <v>Week 1</v>
      </c>
      <c r="D32">
        <f>'Lịch Tập'!C178</f>
        <v>0</v>
      </c>
      <c r="E32" t="str">
        <f>VLOOKUP(Table2[[#This Row],[Exercise]],Table1[],2,FALSE)</f>
        <v>Chest</v>
      </c>
      <c r="F32" t="str">
        <f>VLOOKUP(Table2[[#This Row],[Exercise]],Table1[],3,FALSE)</f>
        <v>Upper Chest</v>
      </c>
      <c r="G32" t="str">
        <f>IF(LEN(Table2[[#This Row],[Exercise]])&gt;1,Table2[[#This Row],[Nhóm cơ Sript]],$E$3)</f>
        <v>Leg</v>
      </c>
      <c r="H32" t="str">
        <f>IF(LEN(Table2[[#This Row],[Exercise]])&gt;1,Table2[[#This Row],[Detail Script]],$F$3)</f>
        <v>Quads</v>
      </c>
      <c r="I32">
        <f>'Lịch Tập'!F178</f>
        <v>0</v>
      </c>
      <c r="J32">
        <f>'Lịch Tập'!G178</f>
        <v>0</v>
      </c>
      <c r="L32">
        <f>'Các Bài Tập'!E7</f>
        <v>0</v>
      </c>
      <c r="M32" s="2" t="str">
        <f>'Các Bài Tập'!$C$2</f>
        <v>Chest</v>
      </c>
      <c r="N32" s="2" t="str">
        <f>'Các Bài Tập'!$E$3</f>
        <v>Lower Chest</v>
      </c>
    </row>
    <row r="33" spans="2:14" x14ac:dyDescent="0.2">
      <c r="B33" s="2" t="s">
        <v>168</v>
      </c>
      <c r="C33" s="2" t="str">
        <f t="shared" si="0"/>
        <v>Week 1</v>
      </c>
      <c r="D33">
        <f>'Lịch Tập'!C184</f>
        <v>0</v>
      </c>
      <c r="E33" t="str">
        <f>VLOOKUP(Table2[[#This Row],[Exercise]],Table1[],2,FALSE)</f>
        <v>Chest</v>
      </c>
      <c r="F33" t="str">
        <f>VLOOKUP(Table2[[#This Row],[Exercise]],Table1[],3,FALSE)</f>
        <v>Upper Chest</v>
      </c>
      <c r="G33" t="str">
        <f>IF(LEN(Table2[[#This Row],[Exercise]])&gt;1,Table2[[#This Row],[Nhóm cơ Sript]],$E$3)</f>
        <v>Leg</v>
      </c>
      <c r="H33" t="str">
        <f>IF(LEN(Table2[[#This Row],[Exercise]])&gt;1,Table2[[#This Row],[Detail Script]],$F$3)</f>
        <v>Quads</v>
      </c>
      <c r="I33">
        <f>'Lịch Tập'!F184</f>
        <v>0</v>
      </c>
      <c r="J33">
        <f>'Lịch Tập'!G184</f>
        <v>0</v>
      </c>
      <c r="L33">
        <f>'Các Bài Tập'!E8</f>
        <v>0</v>
      </c>
      <c r="M33" s="2" t="str">
        <f>'Các Bài Tập'!$C$2</f>
        <v>Chest</v>
      </c>
      <c r="N33" s="2" t="str">
        <f>'Các Bài Tập'!$E$3</f>
        <v>Lower Chest</v>
      </c>
    </row>
    <row r="34" spans="2:14" x14ac:dyDescent="0.2">
      <c r="B34" s="2" t="s">
        <v>168</v>
      </c>
      <c r="C34" s="2" t="str">
        <f t="shared" si="0"/>
        <v>Week 1</v>
      </c>
      <c r="D34">
        <f>'Lịch Tập'!C190</f>
        <v>0</v>
      </c>
      <c r="E34" t="str">
        <f>VLOOKUP(Table2[[#This Row],[Exercise]],Table1[],2,FALSE)</f>
        <v>Chest</v>
      </c>
      <c r="F34" t="str">
        <f>VLOOKUP(Table2[[#This Row],[Exercise]],Table1[],3,FALSE)</f>
        <v>Upper Chest</v>
      </c>
      <c r="G34" t="str">
        <f>IF(LEN(Table2[[#This Row],[Exercise]])&gt;1,Table2[[#This Row],[Nhóm cơ Sript]],$E$3)</f>
        <v>Leg</v>
      </c>
      <c r="H34" t="str">
        <f>IF(LEN(Table2[[#This Row],[Exercise]])&gt;1,Table2[[#This Row],[Detail Script]],$F$3)</f>
        <v>Quads</v>
      </c>
      <c r="I34">
        <f>'Lịch Tập'!F190</f>
        <v>0</v>
      </c>
      <c r="J34">
        <f>'Lịch Tập'!G190</f>
        <v>0</v>
      </c>
      <c r="L34">
        <f>'Các Bài Tập'!E9</f>
        <v>0</v>
      </c>
      <c r="M34" s="2" t="str">
        <f>'Các Bài Tập'!$C$2</f>
        <v>Chest</v>
      </c>
      <c r="N34" s="2" t="str">
        <f>'Các Bài Tập'!$E$3</f>
        <v>Lower Chest</v>
      </c>
    </row>
    <row r="35" spans="2:14" x14ac:dyDescent="0.2">
      <c r="B35" s="2" t="s">
        <v>168</v>
      </c>
      <c r="C35" s="2" t="str">
        <f t="shared" si="0"/>
        <v>Week 1</v>
      </c>
      <c r="D35">
        <f>'Lịch Tập'!C196</f>
        <v>0</v>
      </c>
      <c r="E35" t="str">
        <f>VLOOKUP(Table2[[#This Row],[Exercise]],Table1[],2,FALSE)</f>
        <v>Chest</v>
      </c>
      <c r="F35" t="str">
        <f>VLOOKUP(Table2[[#This Row],[Exercise]],Table1[],3,FALSE)</f>
        <v>Upper Chest</v>
      </c>
      <c r="G35" t="str">
        <f>IF(LEN(Table2[[#This Row],[Exercise]])&gt;1,Table2[[#This Row],[Nhóm cơ Sript]],$E$3)</f>
        <v>Leg</v>
      </c>
      <c r="H35" t="str">
        <f>IF(LEN(Table2[[#This Row],[Exercise]])&gt;1,Table2[[#This Row],[Detail Script]],$F$3)</f>
        <v>Quads</v>
      </c>
      <c r="I35">
        <f>'Lịch Tập'!F196</f>
        <v>0</v>
      </c>
      <c r="J35">
        <f>'Lịch Tập'!G196</f>
        <v>0</v>
      </c>
      <c r="L35">
        <f>'Các Bài Tập'!E10</f>
        <v>0</v>
      </c>
      <c r="M35" s="2" t="str">
        <f>'Các Bài Tập'!$C$2</f>
        <v>Chest</v>
      </c>
      <c r="N35" s="2" t="str">
        <f>'Các Bài Tập'!$E$3</f>
        <v>Lower Chest</v>
      </c>
    </row>
    <row r="36" spans="2:14" x14ac:dyDescent="0.2">
      <c r="B36" s="2" t="s">
        <v>168</v>
      </c>
      <c r="C36" s="2" t="str">
        <f t="shared" si="0"/>
        <v>Week 1</v>
      </c>
      <c r="D36">
        <f>'Lịch Tập'!C202</f>
        <v>0</v>
      </c>
      <c r="E36" t="str">
        <f>VLOOKUP(Table2[[#This Row],[Exercise]],Table1[],2,FALSE)</f>
        <v>Chest</v>
      </c>
      <c r="F36" t="str">
        <f>VLOOKUP(Table2[[#This Row],[Exercise]],Table1[],3,FALSE)</f>
        <v>Upper Chest</v>
      </c>
      <c r="G36" t="str">
        <f>IF(LEN(Table2[[#This Row],[Exercise]])&gt;1,Table2[[#This Row],[Nhóm cơ Sript]],$E$3)</f>
        <v>Leg</v>
      </c>
      <c r="H36" t="str">
        <f>IF(LEN(Table2[[#This Row],[Exercise]])&gt;1,Table2[[#This Row],[Detail Script]],$F$3)</f>
        <v>Quads</v>
      </c>
      <c r="I36">
        <f>'Lịch Tập'!F202</f>
        <v>0</v>
      </c>
      <c r="J36">
        <f>'Lịch Tập'!G202</f>
        <v>0</v>
      </c>
      <c r="L36">
        <f>'Các Bài Tập'!E11</f>
        <v>0</v>
      </c>
      <c r="M36" s="2" t="str">
        <f>'Các Bài Tập'!$C$2</f>
        <v>Chest</v>
      </c>
      <c r="N36" s="2" t="str">
        <f>'Các Bài Tập'!$E$3</f>
        <v>Lower Chest</v>
      </c>
    </row>
    <row r="37" spans="2:14" x14ac:dyDescent="0.2">
      <c r="B37" s="2" t="s">
        <v>168</v>
      </c>
      <c r="C37" s="2" t="str">
        <f t="shared" si="0"/>
        <v>Week 1</v>
      </c>
      <c r="D37">
        <f>'Lịch Tập'!C208</f>
        <v>0</v>
      </c>
      <c r="E37" t="str">
        <f>VLOOKUP(Table2[[#This Row],[Exercise]],Table1[],2,FALSE)</f>
        <v>Chest</v>
      </c>
      <c r="F37" t="str">
        <f>VLOOKUP(Table2[[#This Row],[Exercise]],Table1[],3,FALSE)</f>
        <v>Upper Chest</v>
      </c>
      <c r="G37" t="str">
        <f>IF(LEN(Table2[[#This Row],[Exercise]])&gt;1,Table2[[#This Row],[Nhóm cơ Sript]],$E$3)</f>
        <v>Leg</v>
      </c>
      <c r="H37" t="str">
        <f>IF(LEN(Table2[[#This Row],[Exercise]])&gt;1,Table2[[#This Row],[Detail Script]],$F$3)</f>
        <v>Quads</v>
      </c>
      <c r="I37">
        <f>'Lịch Tập'!F208</f>
        <v>0</v>
      </c>
      <c r="J37">
        <f>'Lịch Tập'!G208</f>
        <v>0</v>
      </c>
      <c r="L37">
        <f>'Các Bài Tập'!E12</f>
        <v>0</v>
      </c>
      <c r="M37" s="2" t="str">
        <f>'Các Bài Tập'!$C$2</f>
        <v>Chest</v>
      </c>
      <c r="N37" s="2" t="str">
        <f>'Các Bài Tập'!$E$3</f>
        <v>Lower Chest</v>
      </c>
    </row>
    <row r="38" spans="2:14" x14ac:dyDescent="0.2">
      <c r="B38" s="2" t="s">
        <v>168</v>
      </c>
      <c r="C38" s="2" t="str">
        <f t="shared" si="0"/>
        <v>Week 1</v>
      </c>
      <c r="D38">
        <f>'Lịch Tập'!C214</f>
        <v>0</v>
      </c>
      <c r="E38" t="str">
        <f>VLOOKUP(Table2[[#This Row],[Exercise]],Table1[],2,FALSE)</f>
        <v>Chest</v>
      </c>
      <c r="F38" t="str">
        <f>VLOOKUP(Table2[[#This Row],[Exercise]],Table1[],3,FALSE)</f>
        <v>Upper Chest</v>
      </c>
      <c r="G38" t="str">
        <f>IF(LEN(Table2[[#This Row],[Exercise]])&gt;1,Table2[[#This Row],[Nhóm cơ Sript]],$E$3)</f>
        <v>Leg</v>
      </c>
      <c r="H38" t="str">
        <f>IF(LEN(Table2[[#This Row],[Exercise]])&gt;1,Table2[[#This Row],[Detail Script]],$F$3)</f>
        <v>Quads</v>
      </c>
      <c r="I38">
        <f>'Lịch Tập'!F214</f>
        <v>0</v>
      </c>
      <c r="J38">
        <f>'Lịch Tập'!G214</f>
        <v>0</v>
      </c>
      <c r="L38">
        <f>'Các Bài Tập'!E13</f>
        <v>0</v>
      </c>
      <c r="M38" s="2" t="str">
        <f>'Các Bài Tập'!$C$2</f>
        <v>Chest</v>
      </c>
      <c r="N38" s="2" t="str">
        <f>'Các Bài Tập'!$E$3</f>
        <v>Lower Chest</v>
      </c>
    </row>
    <row r="39" spans="2:14" x14ac:dyDescent="0.2">
      <c r="B39" s="2" t="s">
        <v>163</v>
      </c>
      <c r="C39" s="2" t="s">
        <v>193</v>
      </c>
      <c r="D39">
        <f>'Lịch Tập'!H4</f>
        <v>0</v>
      </c>
      <c r="E39" t="str">
        <f>VLOOKUP(Table2[[#This Row],[Exercise]],Table1[],2,FALSE)</f>
        <v>Chest</v>
      </c>
      <c r="F39" t="str">
        <f>VLOOKUP(Table2[[#This Row],[Exercise]],Table1[],3,FALSE)</f>
        <v>Upper Chest</v>
      </c>
      <c r="G39" t="str">
        <f>IF(LEN(Table2[[#This Row],[Exercise]])&gt;1,Table2[[#This Row],[Nhóm cơ Sript]],$E$3)</f>
        <v>Leg</v>
      </c>
      <c r="H39" t="str">
        <f>IF(LEN(Table2[[#This Row],[Exercise]])&gt;1,Table2[[#This Row],[Detail Script]],$F$3)</f>
        <v>Quads</v>
      </c>
      <c r="I39">
        <f>'Lịch Tập'!K4</f>
        <v>0</v>
      </c>
      <c r="J39">
        <f>'Lịch Tập'!L4</f>
        <v>0</v>
      </c>
      <c r="L39">
        <f>'Các Bài Tập'!E14</f>
        <v>0</v>
      </c>
      <c r="M39" s="2" t="str">
        <f>'Các Bài Tập'!$C$2</f>
        <v>Chest</v>
      </c>
      <c r="N39" s="2" t="str">
        <f>'Các Bài Tập'!$E$3</f>
        <v>Lower Chest</v>
      </c>
    </row>
    <row r="40" spans="2:14" x14ac:dyDescent="0.2">
      <c r="B40" s="2" t="s">
        <v>163</v>
      </c>
      <c r="C40" s="2" t="str">
        <f>$C$39</f>
        <v>Week 2</v>
      </c>
      <c r="D40">
        <f>'Lịch Tập'!H10</f>
        <v>0</v>
      </c>
      <c r="E40" t="str">
        <f>VLOOKUP(Table2[[#This Row],[Exercise]],Table1[],2,FALSE)</f>
        <v>Chest</v>
      </c>
      <c r="F40" t="str">
        <f>VLOOKUP(Table2[[#This Row],[Exercise]],Table1[],3,FALSE)</f>
        <v>Upper Chest</v>
      </c>
      <c r="G40" t="str">
        <f>IF(LEN(Table2[[#This Row],[Exercise]])&gt;1,Table2[[#This Row],[Nhóm cơ Sript]],$E$3)</f>
        <v>Leg</v>
      </c>
      <c r="H40" t="str">
        <f>IF(LEN(Table2[[#This Row],[Exercise]])&gt;1,Table2[[#This Row],[Detail Script]],$F$3)</f>
        <v>Quads</v>
      </c>
      <c r="I40">
        <f>'Lịch Tập'!K10</f>
        <v>0</v>
      </c>
      <c r="J40">
        <f>'Lịch Tập'!L10</f>
        <v>0</v>
      </c>
      <c r="L40">
        <f>'Các Bài Tập'!E15</f>
        <v>0</v>
      </c>
      <c r="M40" s="2" t="str">
        <f>'Các Bài Tập'!$C$2</f>
        <v>Chest</v>
      </c>
      <c r="N40" s="2" t="str">
        <f>'Các Bài Tập'!$E$3</f>
        <v>Lower Chest</v>
      </c>
    </row>
    <row r="41" spans="2:14" x14ac:dyDescent="0.2">
      <c r="B41" s="2" t="s">
        <v>163</v>
      </c>
      <c r="C41" s="2" t="str">
        <f t="shared" ref="C41:C74" si="1">$C$39</f>
        <v>Week 2</v>
      </c>
      <c r="D41">
        <f>'Lịch Tập'!H16</f>
        <v>0</v>
      </c>
      <c r="E41" t="str">
        <f>VLOOKUP(Table2[[#This Row],[Exercise]],Table1[],2,FALSE)</f>
        <v>Chest</v>
      </c>
      <c r="F41" t="str">
        <f>VLOOKUP(Table2[[#This Row],[Exercise]],Table1[],3,FALSE)</f>
        <v>Upper Chest</v>
      </c>
      <c r="G41" t="str">
        <f>IF(LEN(Table2[[#This Row],[Exercise]])&gt;1,Table2[[#This Row],[Nhóm cơ Sript]],$E$3)</f>
        <v>Leg</v>
      </c>
      <c r="H41" t="str">
        <f>IF(LEN(Table2[[#This Row],[Exercise]])&gt;1,Table2[[#This Row],[Detail Script]],$F$3)</f>
        <v>Quads</v>
      </c>
      <c r="I41">
        <f>'Lịch Tập'!K16</f>
        <v>0</v>
      </c>
      <c r="J41">
        <f>'Lịch Tập'!L16</f>
        <v>0</v>
      </c>
      <c r="L41">
        <f>'Các Bài Tập'!E16</f>
        <v>0</v>
      </c>
      <c r="M41" s="2" t="str">
        <f>'Các Bài Tập'!$C$2</f>
        <v>Chest</v>
      </c>
      <c r="N41" s="2" t="str">
        <f>'Các Bài Tập'!$E$3</f>
        <v>Lower Chest</v>
      </c>
    </row>
    <row r="42" spans="2:14" x14ac:dyDescent="0.2">
      <c r="B42" s="2" t="s">
        <v>163</v>
      </c>
      <c r="C42" s="2" t="str">
        <f t="shared" si="1"/>
        <v>Week 2</v>
      </c>
      <c r="D42">
        <f>'Lịch Tập'!H22</f>
        <v>0</v>
      </c>
      <c r="E42" t="str">
        <f>VLOOKUP(Table2[[#This Row],[Exercise]],Table1[],2,FALSE)</f>
        <v>Chest</v>
      </c>
      <c r="F42" t="str">
        <f>VLOOKUP(Table2[[#This Row],[Exercise]],Table1[],3,FALSE)</f>
        <v>Upper Chest</v>
      </c>
      <c r="G42" t="str">
        <f>IF(LEN(Table2[[#This Row],[Exercise]])&gt;1,Table2[[#This Row],[Nhóm cơ Sript]],$E$3)</f>
        <v>Leg</v>
      </c>
      <c r="H42" t="str">
        <f>IF(LEN(Table2[[#This Row],[Exercise]])&gt;1,Table2[[#This Row],[Detail Script]],$F$3)</f>
        <v>Quads</v>
      </c>
      <c r="I42">
        <f>'Lịch Tập'!K22</f>
        <v>0</v>
      </c>
      <c r="J42">
        <f>'Lịch Tập'!L22</f>
        <v>0</v>
      </c>
      <c r="L42" t="str">
        <f>'Các Bài Tập'!F4</f>
        <v>DB OHP</v>
      </c>
      <c r="M42" s="2" t="str">
        <f>'Các Bài Tập'!$F$2</f>
        <v>Shoulder</v>
      </c>
      <c r="N42" s="2" t="str">
        <f>'Các Bài Tập'!$F$3</f>
        <v>Front Delt</v>
      </c>
    </row>
    <row r="43" spans="2:14" x14ac:dyDescent="0.2">
      <c r="B43" s="2" t="s">
        <v>163</v>
      </c>
      <c r="C43" s="2" t="str">
        <f t="shared" si="1"/>
        <v>Week 2</v>
      </c>
      <c r="D43">
        <f>'Lịch Tập'!H28</f>
        <v>0</v>
      </c>
      <c r="E43" t="str">
        <f>VLOOKUP(Table2[[#This Row],[Exercise]],Table1[],2,FALSE)</f>
        <v>Chest</v>
      </c>
      <c r="F43" t="str">
        <f>VLOOKUP(Table2[[#This Row],[Exercise]],Table1[],3,FALSE)</f>
        <v>Upper Chest</v>
      </c>
      <c r="G43" t="str">
        <f>IF(LEN(Table2[[#This Row],[Exercise]])&gt;1,Table2[[#This Row],[Nhóm cơ Sript]],$E$3)</f>
        <v>Leg</v>
      </c>
      <c r="H43" t="str">
        <f>IF(LEN(Table2[[#This Row],[Exercise]])&gt;1,Table2[[#This Row],[Detail Script]],$F$3)</f>
        <v>Quads</v>
      </c>
      <c r="I43">
        <f>'Lịch Tập'!K28</f>
        <v>0</v>
      </c>
      <c r="J43">
        <f>'Lịch Tập'!L28</f>
        <v>0</v>
      </c>
      <c r="L43" t="str">
        <f>'Các Bài Tập'!F5</f>
        <v>BB OHP</v>
      </c>
      <c r="M43" s="2" t="str">
        <f>'Các Bài Tập'!$F$2</f>
        <v>Shoulder</v>
      </c>
      <c r="N43" s="2" t="str">
        <f>'Các Bài Tập'!$F$3</f>
        <v>Front Delt</v>
      </c>
    </row>
    <row r="44" spans="2:14" x14ac:dyDescent="0.2">
      <c r="B44" s="2" t="s">
        <v>163</v>
      </c>
      <c r="C44" s="2" t="str">
        <f t="shared" si="1"/>
        <v>Week 2</v>
      </c>
      <c r="D44">
        <f>'Lịch Tập'!H34</f>
        <v>0</v>
      </c>
      <c r="E44" t="str">
        <f>VLOOKUP(Table2[[#This Row],[Exercise]],Table1[],2,FALSE)</f>
        <v>Chest</v>
      </c>
      <c r="F44" t="str">
        <f>VLOOKUP(Table2[[#This Row],[Exercise]],Table1[],3,FALSE)</f>
        <v>Upper Chest</v>
      </c>
      <c r="G44" t="str">
        <f>IF(LEN(Table2[[#This Row],[Exercise]])&gt;1,Table2[[#This Row],[Nhóm cơ Sript]],$E$3)</f>
        <v>Leg</v>
      </c>
      <c r="H44" t="str">
        <f>IF(LEN(Table2[[#This Row],[Exercise]])&gt;1,Table2[[#This Row],[Detail Script]],$F$3)</f>
        <v>Quads</v>
      </c>
      <c r="I44">
        <f>'Lịch Tập'!K34</f>
        <v>0</v>
      </c>
      <c r="J44">
        <f>'Lịch Tập'!L34</f>
        <v>0</v>
      </c>
      <c r="L44" t="str">
        <f>'Các Bài Tập'!F6</f>
        <v>DB Front Raise</v>
      </c>
      <c r="M44" s="2" t="str">
        <f>'Các Bài Tập'!$F$2</f>
        <v>Shoulder</v>
      </c>
      <c r="N44" s="2" t="str">
        <f>'Các Bài Tập'!$F$3</f>
        <v>Front Delt</v>
      </c>
    </row>
    <row r="45" spans="2:14" x14ac:dyDescent="0.2">
      <c r="B45" s="2" t="s">
        <v>164</v>
      </c>
      <c r="C45" s="2" t="str">
        <f t="shared" si="1"/>
        <v>Week 2</v>
      </c>
      <c r="D45">
        <f>'Lịch Tập'!H40</f>
        <v>0</v>
      </c>
      <c r="E45" t="str">
        <f>VLOOKUP(Table2[[#This Row],[Exercise]],Table1[],2,FALSE)</f>
        <v>Chest</v>
      </c>
      <c r="F45" t="str">
        <f>VLOOKUP(Table2[[#This Row],[Exercise]],Table1[],3,FALSE)</f>
        <v>Upper Chest</v>
      </c>
      <c r="G45" t="str">
        <f>IF(LEN(Table2[[#This Row],[Exercise]])&gt;1,Table2[[#This Row],[Nhóm cơ Sript]],$E$3)</f>
        <v>Leg</v>
      </c>
      <c r="H45" t="str">
        <f>IF(LEN(Table2[[#This Row],[Exercise]])&gt;1,Table2[[#This Row],[Detail Script]],$F$3)</f>
        <v>Quads</v>
      </c>
      <c r="I45">
        <f>'Lịch Tập'!K40</f>
        <v>0</v>
      </c>
      <c r="J45">
        <f>'Lịch Tập'!L40</f>
        <v>0</v>
      </c>
      <c r="L45" t="str">
        <f>'Các Bài Tập'!F7</f>
        <v>Cable Front Raise</v>
      </c>
      <c r="M45" s="2" t="str">
        <f>'Các Bài Tập'!$F$2</f>
        <v>Shoulder</v>
      </c>
      <c r="N45" s="2" t="str">
        <f>'Các Bài Tập'!$F$3</f>
        <v>Front Delt</v>
      </c>
    </row>
    <row r="46" spans="2:14" x14ac:dyDescent="0.2">
      <c r="B46" s="2" t="s">
        <v>164</v>
      </c>
      <c r="C46" s="2" t="str">
        <f t="shared" si="1"/>
        <v>Week 2</v>
      </c>
      <c r="D46">
        <f>'Lịch Tập'!H46</f>
        <v>0</v>
      </c>
      <c r="E46" t="str">
        <f>VLOOKUP(Table2[[#This Row],[Exercise]],Table1[],2,FALSE)</f>
        <v>Chest</v>
      </c>
      <c r="F46" t="str">
        <f>VLOOKUP(Table2[[#This Row],[Exercise]],Table1[],3,FALSE)</f>
        <v>Upper Chest</v>
      </c>
      <c r="G46" t="str">
        <f>IF(LEN(Table2[[#This Row],[Exercise]])&gt;1,Table2[[#This Row],[Nhóm cơ Sript]],$E$3)</f>
        <v>Leg</v>
      </c>
      <c r="H46" t="str">
        <f>IF(LEN(Table2[[#This Row],[Exercise]])&gt;1,Table2[[#This Row],[Detail Script]],$F$3)</f>
        <v>Quads</v>
      </c>
      <c r="I46">
        <f>'Lịch Tập'!K46</f>
        <v>0</v>
      </c>
      <c r="J46">
        <f>'Lịch Tập'!L46</f>
        <v>0</v>
      </c>
      <c r="L46" t="str">
        <f>'Các Bài Tập'!F8</f>
        <v>BB Front Raise</v>
      </c>
      <c r="M46" s="2" t="str">
        <f>'Các Bài Tập'!$F$2</f>
        <v>Shoulder</v>
      </c>
      <c r="N46" s="2" t="str">
        <f>'Các Bài Tập'!$F$3</f>
        <v>Front Delt</v>
      </c>
    </row>
    <row r="47" spans="2:14" x14ac:dyDescent="0.2">
      <c r="B47" s="2" t="s">
        <v>164</v>
      </c>
      <c r="C47" s="2" t="str">
        <f t="shared" si="1"/>
        <v>Week 2</v>
      </c>
      <c r="D47">
        <f>'Lịch Tập'!H52</f>
        <v>0</v>
      </c>
      <c r="E47" t="str">
        <f>VLOOKUP(Table2[[#This Row],[Exercise]],Table1[],2,FALSE)</f>
        <v>Chest</v>
      </c>
      <c r="F47" t="str">
        <f>VLOOKUP(Table2[[#This Row],[Exercise]],Table1[],3,FALSE)</f>
        <v>Upper Chest</v>
      </c>
      <c r="G47" t="str">
        <f>IF(LEN(Table2[[#This Row],[Exercise]])&gt;1,Table2[[#This Row],[Nhóm cơ Sript]],$E$3)</f>
        <v>Leg</v>
      </c>
      <c r="H47" t="str">
        <f>IF(LEN(Table2[[#This Row],[Exercise]])&gt;1,Table2[[#This Row],[Detail Script]],$F$3)</f>
        <v>Quads</v>
      </c>
      <c r="I47">
        <f>'Lịch Tập'!K52</f>
        <v>0</v>
      </c>
      <c r="J47">
        <f>'Lịch Tập'!L52</f>
        <v>0</v>
      </c>
      <c r="L47" t="str">
        <f>'Các Bài Tập'!F9</f>
        <v>Shoulder Press Machine</v>
      </c>
      <c r="M47" s="2" t="str">
        <f>'Các Bài Tập'!$F$2</f>
        <v>Shoulder</v>
      </c>
      <c r="N47" s="2" t="str">
        <f>'Các Bài Tập'!$F$3</f>
        <v>Front Delt</v>
      </c>
    </row>
    <row r="48" spans="2:14" x14ac:dyDescent="0.2">
      <c r="B48" s="2" t="s">
        <v>164</v>
      </c>
      <c r="C48" s="2" t="str">
        <f t="shared" si="1"/>
        <v>Week 2</v>
      </c>
      <c r="D48">
        <f>'Lịch Tập'!H58</f>
        <v>0</v>
      </c>
      <c r="E48" t="str">
        <f>VLOOKUP(Table2[[#This Row],[Exercise]],Table1[],2,FALSE)</f>
        <v>Chest</v>
      </c>
      <c r="F48" t="str">
        <f>VLOOKUP(Table2[[#This Row],[Exercise]],Table1[],3,FALSE)</f>
        <v>Upper Chest</v>
      </c>
      <c r="G48" t="str">
        <f>IF(LEN(Table2[[#This Row],[Exercise]])&gt;1,Table2[[#This Row],[Nhóm cơ Sript]],$E$3)</f>
        <v>Leg</v>
      </c>
      <c r="H48" t="str">
        <f>IF(LEN(Table2[[#This Row],[Exercise]])&gt;1,Table2[[#This Row],[Detail Script]],$F$3)</f>
        <v>Quads</v>
      </c>
      <c r="I48">
        <f>'Lịch Tập'!K58</f>
        <v>0</v>
      </c>
      <c r="J48">
        <f>'Lịch Tập'!L58</f>
        <v>0</v>
      </c>
      <c r="L48">
        <f>'Các Bài Tập'!F10</f>
        <v>0</v>
      </c>
      <c r="M48" s="2" t="str">
        <f>'Các Bài Tập'!$F$2</f>
        <v>Shoulder</v>
      </c>
      <c r="N48" s="2" t="str">
        <f>'Các Bài Tập'!$F$3</f>
        <v>Front Delt</v>
      </c>
    </row>
    <row r="49" spans="2:14" x14ac:dyDescent="0.2">
      <c r="B49" s="2" t="s">
        <v>164</v>
      </c>
      <c r="C49" s="2" t="str">
        <f t="shared" si="1"/>
        <v>Week 2</v>
      </c>
      <c r="D49">
        <f>'Lịch Tập'!H64</f>
        <v>0</v>
      </c>
      <c r="E49" t="str">
        <f>VLOOKUP(Table2[[#This Row],[Exercise]],Table1[],2,FALSE)</f>
        <v>Chest</v>
      </c>
      <c r="F49" t="str">
        <f>VLOOKUP(Table2[[#This Row],[Exercise]],Table1[],3,FALSE)</f>
        <v>Upper Chest</v>
      </c>
      <c r="G49" t="str">
        <f>IF(LEN(Table2[[#This Row],[Exercise]])&gt;1,Table2[[#This Row],[Nhóm cơ Sript]],$E$3)</f>
        <v>Leg</v>
      </c>
      <c r="H49" t="str">
        <f>IF(LEN(Table2[[#This Row],[Exercise]])&gt;1,Table2[[#This Row],[Detail Script]],$F$3)</f>
        <v>Quads</v>
      </c>
      <c r="I49">
        <f>'Lịch Tập'!K64</f>
        <v>0</v>
      </c>
      <c r="J49">
        <f>'Lịch Tập'!L64</f>
        <v>0</v>
      </c>
      <c r="L49">
        <f>'Các Bài Tập'!F11</f>
        <v>0</v>
      </c>
      <c r="M49" s="2" t="str">
        <f>'Các Bài Tập'!$F$2</f>
        <v>Shoulder</v>
      </c>
      <c r="N49" s="2" t="str">
        <f>'Các Bài Tập'!$F$3</f>
        <v>Front Delt</v>
      </c>
    </row>
    <row r="50" spans="2:14" x14ac:dyDescent="0.2">
      <c r="B50" s="2" t="s">
        <v>164</v>
      </c>
      <c r="C50" s="2" t="str">
        <f t="shared" si="1"/>
        <v>Week 2</v>
      </c>
      <c r="D50">
        <f>'Lịch Tập'!H70</f>
        <v>0</v>
      </c>
      <c r="E50" t="str">
        <f>VLOOKUP(Table2[[#This Row],[Exercise]],Table1[],2,FALSE)</f>
        <v>Chest</v>
      </c>
      <c r="F50" t="str">
        <f>VLOOKUP(Table2[[#This Row],[Exercise]],Table1[],3,FALSE)</f>
        <v>Upper Chest</v>
      </c>
      <c r="G50" t="str">
        <f>IF(LEN(Table2[[#This Row],[Exercise]])&gt;1,Table2[[#This Row],[Nhóm cơ Sript]],$E$3)</f>
        <v>Leg</v>
      </c>
      <c r="H50" t="str">
        <f>IF(LEN(Table2[[#This Row],[Exercise]])&gt;1,Table2[[#This Row],[Detail Script]],$F$3)</f>
        <v>Quads</v>
      </c>
      <c r="I50">
        <f>'Lịch Tập'!K70</f>
        <v>0</v>
      </c>
      <c r="J50">
        <f>'Lịch Tập'!L70</f>
        <v>0</v>
      </c>
      <c r="L50">
        <f>'Các Bài Tập'!F12</f>
        <v>0</v>
      </c>
      <c r="M50" s="2" t="str">
        <f>'Các Bài Tập'!$F$2</f>
        <v>Shoulder</v>
      </c>
      <c r="N50" s="2" t="str">
        <f>'Các Bài Tập'!$F$3</f>
        <v>Front Delt</v>
      </c>
    </row>
    <row r="51" spans="2:14" x14ac:dyDescent="0.2">
      <c r="B51" s="2" t="s">
        <v>165</v>
      </c>
      <c r="C51" s="2" t="str">
        <f t="shared" si="1"/>
        <v>Week 2</v>
      </c>
      <c r="D51">
        <f>'Lịch Tập'!H76</f>
        <v>0</v>
      </c>
      <c r="E51" t="str">
        <f>VLOOKUP(Table2[[#This Row],[Exercise]],Table1[],2,FALSE)</f>
        <v>Chest</v>
      </c>
      <c r="F51" t="str">
        <f>VLOOKUP(Table2[[#This Row],[Exercise]],Table1[],3,FALSE)</f>
        <v>Upper Chest</v>
      </c>
      <c r="G51" t="str">
        <f>IF(LEN(Table2[[#This Row],[Exercise]])&gt;1,Table2[[#This Row],[Nhóm cơ Sript]],$E$3)</f>
        <v>Leg</v>
      </c>
      <c r="H51" t="str">
        <f>IF(LEN(Table2[[#This Row],[Exercise]])&gt;1,Table2[[#This Row],[Detail Script]],$F$3)</f>
        <v>Quads</v>
      </c>
      <c r="I51">
        <f>'Lịch Tập'!K76</f>
        <v>0</v>
      </c>
      <c r="J51">
        <f>'Lịch Tập'!L76</f>
        <v>0</v>
      </c>
      <c r="L51">
        <f>'Các Bài Tập'!F13</f>
        <v>0</v>
      </c>
      <c r="M51" s="2" t="str">
        <f>'Các Bài Tập'!$F$2</f>
        <v>Shoulder</v>
      </c>
      <c r="N51" s="2" t="str">
        <f>'Các Bài Tập'!$F$3</f>
        <v>Front Delt</v>
      </c>
    </row>
    <row r="52" spans="2:14" x14ac:dyDescent="0.2">
      <c r="B52" s="2" t="s">
        <v>165</v>
      </c>
      <c r="C52" s="2" t="str">
        <f t="shared" si="1"/>
        <v>Week 2</v>
      </c>
      <c r="D52">
        <f>'Lịch Tập'!H82</f>
        <v>0</v>
      </c>
      <c r="E52" t="str">
        <f>VLOOKUP(Table2[[#This Row],[Exercise]],Table1[],2,FALSE)</f>
        <v>Chest</v>
      </c>
      <c r="F52" t="str">
        <f>VLOOKUP(Table2[[#This Row],[Exercise]],Table1[],3,FALSE)</f>
        <v>Upper Chest</v>
      </c>
      <c r="G52" t="str">
        <f>IF(LEN(Table2[[#This Row],[Exercise]])&gt;1,Table2[[#This Row],[Nhóm cơ Sript]],$E$3)</f>
        <v>Leg</v>
      </c>
      <c r="H52" t="str">
        <f>IF(LEN(Table2[[#This Row],[Exercise]])&gt;1,Table2[[#This Row],[Detail Script]],$F$3)</f>
        <v>Quads</v>
      </c>
      <c r="I52">
        <f>'Lịch Tập'!K82</f>
        <v>0</v>
      </c>
      <c r="J52">
        <f>'Lịch Tập'!L82</f>
        <v>0</v>
      </c>
      <c r="L52">
        <f>'Các Bài Tập'!F14</f>
        <v>0</v>
      </c>
      <c r="M52" s="2" t="str">
        <f>'Các Bài Tập'!$F$2</f>
        <v>Shoulder</v>
      </c>
      <c r="N52" s="2" t="str">
        <f>'Các Bài Tập'!$F$3</f>
        <v>Front Delt</v>
      </c>
    </row>
    <row r="53" spans="2:14" x14ac:dyDescent="0.2">
      <c r="B53" s="2" t="s">
        <v>165</v>
      </c>
      <c r="C53" s="2" t="str">
        <f t="shared" si="1"/>
        <v>Week 2</v>
      </c>
      <c r="D53">
        <f>'Lịch Tập'!H88</f>
        <v>0</v>
      </c>
      <c r="E53" t="str">
        <f>VLOOKUP(Table2[[#This Row],[Exercise]],Table1[],2,FALSE)</f>
        <v>Chest</v>
      </c>
      <c r="F53" t="str">
        <f>VLOOKUP(Table2[[#This Row],[Exercise]],Table1[],3,FALSE)</f>
        <v>Upper Chest</v>
      </c>
      <c r="G53" t="str">
        <f>IF(LEN(Table2[[#This Row],[Exercise]])&gt;1,Table2[[#This Row],[Nhóm cơ Sript]],$E$3)</f>
        <v>Leg</v>
      </c>
      <c r="H53" t="str">
        <f>IF(LEN(Table2[[#This Row],[Exercise]])&gt;1,Table2[[#This Row],[Detail Script]],$F$3)</f>
        <v>Quads</v>
      </c>
      <c r="I53">
        <f>'Lịch Tập'!K88</f>
        <v>0</v>
      </c>
      <c r="J53">
        <f>'Lịch Tập'!L88</f>
        <v>0</v>
      </c>
      <c r="L53">
        <f>'Các Bài Tập'!F15</f>
        <v>0</v>
      </c>
      <c r="M53" s="2" t="str">
        <f>'Các Bài Tập'!$F$2</f>
        <v>Shoulder</v>
      </c>
      <c r="N53" s="2" t="str">
        <f>'Các Bài Tập'!$F$3</f>
        <v>Front Delt</v>
      </c>
    </row>
    <row r="54" spans="2:14" x14ac:dyDescent="0.2">
      <c r="B54" s="2" t="s">
        <v>165</v>
      </c>
      <c r="C54" s="2" t="str">
        <f t="shared" si="1"/>
        <v>Week 2</v>
      </c>
      <c r="D54">
        <f>'Lịch Tập'!H94</f>
        <v>0</v>
      </c>
      <c r="E54" t="str">
        <f>VLOOKUP(Table2[[#This Row],[Exercise]],Table1[],2,FALSE)</f>
        <v>Chest</v>
      </c>
      <c r="F54" t="str">
        <f>VLOOKUP(Table2[[#This Row],[Exercise]],Table1[],3,FALSE)</f>
        <v>Upper Chest</v>
      </c>
      <c r="G54" t="str">
        <f>IF(LEN(Table2[[#This Row],[Exercise]])&gt;1,Table2[[#This Row],[Nhóm cơ Sript]],$E$3)</f>
        <v>Leg</v>
      </c>
      <c r="H54" t="str">
        <f>IF(LEN(Table2[[#This Row],[Exercise]])&gt;1,Table2[[#This Row],[Detail Script]],$F$3)</f>
        <v>Quads</v>
      </c>
      <c r="I54">
        <f>'Lịch Tập'!K94</f>
        <v>0</v>
      </c>
      <c r="J54">
        <f>'Lịch Tập'!L94</f>
        <v>0</v>
      </c>
      <c r="L54">
        <f>'Các Bài Tập'!F16</f>
        <v>0</v>
      </c>
      <c r="M54" s="2" t="str">
        <f>'Các Bài Tập'!$F$2</f>
        <v>Shoulder</v>
      </c>
      <c r="N54" s="2" t="str">
        <f>'Các Bài Tập'!$F$3</f>
        <v>Front Delt</v>
      </c>
    </row>
    <row r="55" spans="2:14" x14ac:dyDescent="0.2">
      <c r="B55" s="2" t="s">
        <v>165</v>
      </c>
      <c r="C55" s="2" t="str">
        <f t="shared" si="1"/>
        <v>Week 2</v>
      </c>
      <c r="D55">
        <f>'Lịch Tập'!H100</f>
        <v>0</v>
      </c>
      <c r="E55" t="str">
        <f>VLOOKUP(Table2[[#This Row],[Exercise]],Table1[],2,FALSE)</f>
        <v>Chest</v>
      </c>
      <c r="F55" t="str">
        <f>VLOOKUP(Table2[[#This Row],[Exercise]],Table1[],3,FALSE)</f>
        <v>Upper Chest</v>
      </c>
      <c r="G55" t="str">
        <f>IF(LEN(Table2[[#This Row],[Exercise]])&gt;1,Table2[[#This Row],[Nhóm cơ Sript]],$E$3)</f>
        <v>Leg</v>
      </c>
      <c r="H55" t="str">
        <f>IF(LEN(Table2[[#This Row],[Exercise]])&gt;1,Table2[[#This Row],[Detail Script]],$F$3)</f>
        <v>Quads</v>
      </c>
      <c r="I55">
        <f>'Lịch Tập'!K100</f>
        <v>0</v>
      </c>
      <c r="J55">
        <f>'Lịch Tập'!L100</f>
        <v>0</v>
      </c>
      <c r="L55" t="str">
        <f>'Các Bài Tập'!G4</f>
        <v>DB Lateral Raise</v>
      </c>
      <c r="M55" s="2" t="str">
        <f>'Các Bài Tập'!$F$2</f>
        <v>Shoulder</v>
      </c>
      <c r="N55" s="2" t="str">
        <f>'Các Bài Tập'!$G$3</f>
        <v>Mid Delt</v>
      </c>
    </row>
    <row r="56" spans="2:14" x14ac:dyDescent="0.2">
      <c r="B56" s="2" t="s">
        <v>165</v>
      </c>
      <c r="C56" s="2" t="str">
        <f t="shared" si="1"/>
        <v>Week 2</v>
      </c>
      <c r="D56">
        <f>'Lịch Tập'!H106</f>
        <v>0</v>
      </c>
      <c r="E56" t="str">
        <f>VLOOKUP(Table2[[#This Row],[Exercise]],Table1[],2,FALSE)</f>
        <v>Chest</v>
      </c>
      <c r="F56" t="str">
        <f>VLOOKUP(Table2[[#This Row],[Exercise]],Table1[],3,FALSE)</f>
        <v>Upper Chest</v>
      </c>
      <c r="G56" t="str">
        <f>IF(LEN(Table2[[#This Row],[Exercise]])&gt;1,Table2[[#This Row],[Nhóm cơ Sript]],$E$3)</f>
        <v>Leg</v>
      </c>
      <c r="H56" t="str">
        <f>IF(LEN(Table2[[#This Row],[Exercise]])&gt;1,Table2[[#This Row],[Detail Script]],$F$3)</f>
        <v>Quads</v>
      </c>
      <c r="I56">
        <f>'Lịch Tập'!K106</f>
        <v>0</v>
      </c>
      <c r="J56">
        <f>'Lịch Tập'!L106</f>
        <v>0</v>
      </c>
      <c r="L56" t="str">
        <f>'Các Bài Tập'!G5</f>
        <v>Cable Lateral Raise</v>
      </c>
      <c r="M56" s="2" t="str">
        <f>'Các Bài Tập'!$F$2</f>
        <v>Shoulder</v>
      </c>
      <c r="N56" s="2" t="str">
        <f>'Các Bài Tập'!$G$3</f>
        <v>Mid Delt</v>
      </c>
    </row>
    <row r="57" spans="2:14" x14ac:dyDescent="0.2">
      <c r="B57" s="2" t="s">
        <v>166</v>
      </c>
      <c r="C57" s="2" t="str">
        <f t="shared" si="1"/>
        <v>Week 2</v>
      </c>
      <c r="D57">
        <f>'Lịch Tập'!H112</f>
        <v>0</v>
      </c>
      <c r="E57" t="str">
        <f>VLOOKUP(Table2[[#This Row],[Exercise]],Table1[],2,FALSE)</f>
        <v>Chest</v>
      </c>
      <c r="F57" t="str">
        <f>VLOOKUP(Table2[[#This Row],[Exercise]],Table1[],3,FALSE)</f>
        <v>Upper Chest</v>
      </c>
      <c r="G57" t="str">
        <f>IF(LEN(Table2[[#This Row],[Exercise]])&gt;1,Table2[[#This Row],[Nhóm cơ Sript]],$E$3)</f>
        <v>Leg</v>
      </c>
      <c r="H57" t="str">
        <f>IF(LEN(Table2[[#This Row],[Exercise]])&gt;1,Table2[[#This Row],[Detail Script]],$F$3)</f>
        <v>Quads</v>
      </c>
      <c r="I57">
        <f>'Lịch Tập'!K112</f>
        <v>0</v>
      </c>
      <c r="J57">
        <f>'Lịch Tập'!L112</f>
        <v>0</v>
      </c>
      <c r="L57">
        <f>'Các Bài Tập'!G6</f>
        <v>0</v>
      </c>
      <c r="M57" s="2" t="str">
        <f>'Các Bài Tập'!$F$2</f>
        <v>Shoulder</v>
      </c>
      <c r="N57" s="2" t="str">
        <f>'Các Bài Tập'!$G$3</f>
        <v>Mid Delt</v>
      </c>
    </row>
    <row r="58" spans="2:14" x14ac:dyDescent="0.2">
      <c r="B58" s="2" t="s">
        <v>166</v>
      </c>
      <c r="C58" s="2" t="str">
        <f t="shared" si="1"/>
        <v>Week 2</v>
      </c>
      <c r="D58">
        <f>'Lịch Tập'!H118</f>
        <v>0</v>
      </c>
      <c r="E58" t="str">
        <f>VLOOKUP(Table2[[#This Row],[Exercise]],Table1[],2,FALSE)</f>
        <v>Chest</v>
      </c>
      <c r="F58" t="str">
        <f>VLOOKUP(Table2[[#This Row],[Exercise]],Table1[],3,FALSE)</f>
        <v>Upper Chest</v>
      </c>
      <c r="G58" t="str">
        <f>IF(LEN(Table2[[#This Row],[Exercise]])&gt;1,Table2[[#This Row],[Nhóm cơ Sript]],$E$3)</f>
        <v>Leg</v>
      </c>
      <c r="H58" t="str">
        <f>IF(LEN(Table2[[#This Row],[Exercise]])&gt;1,Table2[[#This Row],[Detail Script]],$F$3)</f>
        <v>Quads</v>
      </c>
      <c r="I58">
        <f>'Lịch Tập'!K118</f>
        <v>0</v>
      </c>
      <c r="J58">
        <f>'Lịch Tập'!L118</f>
        <v>0</v>
      </c>
      <c r="L58">
        <f>'Các Bài Tập'!G7</f>
        <v>0</v>
      </c>
      <c r="M58" s="2" t="str">
        <f>'Các Bài Tập'!$F$2</f>
        <v>Shoulder</v>
      </c>
      <c r="N58" s="2" t="str">
        <f>'Các Bài Tập'!$G$3</f>
        <v>Mid Delt</v>
      </c>
    </row>
    <row r="59" spans="2:14" x14ac:dyDescent="0.2">
      <c r="B59" s="2" t="s">
        <v>166</v>
      </c>
      <c r="C59" s="2" t="str">
        <f t="shared" si="1"/>
        <v>Week 2</v>
      </c>
      <c r="D59">
        <f>'Lịch Tập'!H124</f>
        <v>0</v>
      </c>
      <c r="E59" t="str">
        <f>VLOOKUP(Table2[[#This Row],[Exercise]],Table1[],2,FALSE)</f>
        <v>Chest</v>
      </c>
      <c r="F59" t="str">
        <f>VLOOKUP(Table2[[#This Row],[Exercise]],Table1[],3,FALSE)</f>
        <v>Upper Chest</v>
      </c>
      <c r="G59" t="str">
        <f>IF(LEN(Table2[[#This Row],[Exercise]])&gt;1,Table2[[#This Row],[Nhóm cơ Sript]],$E$3)</f>
        <v>Leg</v>
      </c>
      <c r="H59" t="str">
        <f>IF(LEN(Table2[[#This Row],[Exercise]])&gt;1,Table2[[#This Row],[Detail Script]],$F$3)</f>
        <v>Quads</v>
      </c>
      <c r="I59">
        <f>'Lịch Tập'!K124</f>
        <v>0</v>
      </c>
      <c r="J59">
        <f>'Lịch Tập'!L124</f>
        <v>0</v>
      </c>
      <c r="L59">
        <f>'Các Bài Tập'!G8</f>
        <v>0</v>
      </c>
      <c r="M59" s="2" t="str">
        <f>'Các Bài Tập'!$F$2</f>
        <v>Shoulder</v>
      </c>
      <c r="N59" s="2" t="str">
        <f>'Các Bài Tập'!$G$3</f>
        <v>Mid Delt</v>
      </c>
    </row>
    <row r="60" spans="2:14" x14ac:dyDescent="0.2">
      <c r="B60" s="2" t="s">
        <v>166</v>
      </c>
      <c r="C60" s="2" t="str">
        <f t="shared" si="1"/>
        <v>Week 2</v>
      </c>
      <c r="D60">
        <f>'Lịch Tập'!H130</f>
        <v>0</v>
      </c>
      <c r="E60" t="str">
        <f>VLOOKUP(Table2[[#This Row],[Exercise]],Table1[],2,FALSE)</f>
        <v>Chest</v>
      </c>
      <c r="F60" t="str">
        <f>VLOOKUP(Table2[[#This Row],[Exercise]],Table1[],3,FALSE)</f>
        <v>Upper Chest</v>
      </c>
      <c r="G60" t="str">
        <f>IF(LEN(Table2[[#This Row],[Exercise]])&gt;1,Table2[[#This Row],[Nhóm cơ Sript]],$E$3)</f>
        <v>Leg</v>
      </c>
      <c r="H60" t="str">
        <f>IF(LEN(Table2[[#This Row],[Exercise]])&gt;1,Table2[[#This Row],[Detail Script]],$F$3)</f>
        <v>Quads</v>
      </c>
      <c r="I60">
        <f>'Lịch Tập'!K130</f>
        <v>0</v>
      </c>
      <c r="J60">
        <f>'Lịch Tập'!L130</f>
        <v>0</v>
      </c>
      <c r="L60">
        <f>'Các Bài Tập'!G9</f>
        <v>0</v>
      </c>
      <c r="M60" s="2" t="str">
        <f>'Các Bài Tập'!$F$2</f>
        <v>Shoulder</v>
      </c>
      <c r="N60" s="2" t="str">
        <f>'Các Bài Tập'!$G$3</f>
        <v>Mid Delt</v>
      </c>
    </row>
    <row r="61" spans="2:14" x14ac:dyDescent="0.2">
      <c r="B61" s="2" t="s">
        <v>166</v>
      </c>
      <c r="C61" s="2" t="str">
        <f t="shared" si="1"/>
        <v>Week 2</v>
      </c>
      <c r="D61">
        <f>'Lịch Tập'!H136</f>
        <v>0</v>
      </c>
      <c r="E61" t="str">
        <f>VLOOKUP(Table2[[#This Row],[Exercise]],Table1[],2,FALSE)</f>
        <v>Chest</v>
      </c>
      <c r="F61" t="str">
        <f>VLOOKUP(Table2[[#This Row],[Exercise]],Table1[],3,FALSE)</f>
        <v>Upper Chest</v>
      </c>
      <c r="G61" t="str">
        <f>IF(LEN(Table2[[#This Row],[Exercise]])&gt;1,Table2[[#This Row],[Nhóm cơ Sript]],$E$3)</f>
        <v>Leg</v>
      </c>
      <c r="H61" t="str">
        <f>IF(LEN(Table2[[#This Row],[Exercise]])&gt;1,Table2[[#This Row],[Detail Script]],$F$3)</f>
        <v>Quads</v>
      </c>
      <c r="I61">
        <f>'Lịch Tập'!K136</f>
        <v>0</v>
      </c>
      <c r="J61">
        <f>'Lịch Tập'!L136</f>
        <v>0</v>
      </c>
      <c r="L61">
        <f>'Các Bài Tập'!G10</f>
        <v>0</v>
      </c>
      <c r="M61" s="2" t="str">
        <f>'Các Bài Tập'!$F$2</f>
        <v>Shoulder</v>
      </c>
      <c r="N61" s="2" t="str">
        <f>'Các Bài Tập'!$G$3</f>
        <v>Mid Delt</v>
      </c>
    </row>
    <row r="62" spans="2:14" x14ac:dyDescent="0.2">
      <c r="B62" s="2" t="s">
        <v>166</v>
      </c>
      <c r="C62" s="2" t="str">
        <f t="shared" si="1"/>
        <v>Week 2</v>
      </c>
      <c r="D62">
        <f>'Lịch Tập'!H142</f>
        <v>0</v>
      </c>
      <c r="E62" t="str">
        <f>VLOOKUP(Table2[[#This Row],[Exercise]],Table1[],2,FALSE)</f>
        <v>Chest</v>
      </c>
      <c r="F62" t="str">
        <f>VLOOKUP(Table2[[#This Row],[Exercise]],Table1[],3,FALSE)</f>
        <v>Upper Chest</v>
      </c>
      <c r="G62" t="str">
        <f>IF(LEN(Table2[[#This Row],[Exercise]])&gt;1,Table2[[#This Row],[Nhóm cơ Sript]],$E$3)</f>
        <v>Leg</v>
      </c>
      <c r="H62" t="str">
        <f>IF(LEN(Table2[[#This Row],[Exercise]])&gt;1,Table2[[#This Row],[Detail Script]],$F$3)</f>
        <v>Quads</v>
      </c>
      <c r="I62">
        <f>'Lịch Tập'!K142</f>
        <v>0</v>
      </c>
      <c r="J62">
        <f>'Lịch Tập'!L142</f>
        <v>0</v>
      </c>
      <c r="L62">
        <f>'Các Bài Tập'!G11</f>
        <v>0</v>
      </c>
      <c r="M62" s="2" t="str">
        <f>'Các Bài Tập'!$F$2</f>
        <v>Shoulder</v>
      </c>
      <c r="N62" s="2" t="str">
        <f>'Các Bài Tập'!$G$3</f>
        <v>Mid Delt</v>
      </c>
    </row>
    <row r="63" spans="2:14" x14ac:dyDescent="0.2">
      <c r="B63" s="2" t="s">
        <v>167</v>
      </c>
      <c r="C63" s="2" t="str">
        <f t="shared" si="1"/>
        <v>Week 2</v>
      </c>
      <c r="D63">
        <f>'Lịch Tập'!H148</f>
        <v>0</v>
      </c>
      <c r="E63" t="str">
        <f>VLOOKUP(Table2[[#This Row],[Exercise]],Table1[],2,FALSE)</f>
        <v>Chest</v>
      </c>
      <c r="F63" t="str">
        <f>VLOOKUP(Table2[[#This Row],[Exercise]],Table1[],3,FALSE)</f>
        <v>Upper Chest</v>
      </c>
      <c r="G63" t="str">
        <f>IF(LEN(Table2[[#This Row],[Exercise]])&gt;1,Table2[[#This Row],[Nhóm cơ Sript]],$E$3)</f>
        <v>Leg</v>
      </c>
      <c r="H63" t="str">
        <f>IF(LEN(Table2[[#This Row],[Exercise]])&gt;1,Table2[[#This Row],[Detail Script]],$F$3)</f>
        <v>Quads</v>
      </c>
      <c r="I63">
        <f>'Lịch Tập'!K148</f>
        <v>0</v>
      </c>
      <c r="J63">
        <f>'Lịch Tập'!L148</f>
        <v>0</v>
      </c>
      <c r="L63">
        <f>'Các Bài Tập'!G12</f>
        <v>0</v>
      </c>
      <c r="M63" s="2" t="str">
        <f>'Các Bài Tập'!$F$2</f>
        <v>Shoulder</v>
      </c>
      <c r="N63" s="2" t="str">
        <f>'Các Bài Tập'!$G$3</f>
        <v>Mid Delt</v>
      </c>
    </row>
    <row r="64" spans="2:14" x14ac:dyDescent="0.2">
      <c r="B64" s="2" t="s">
        <v>167</v>
      </c>
      <c r="C64" s="2" t="str">
        <f t="shared" si="1"/>
        <v>Week 2</v>
      </c>
      <c r="D64">
        <f>'Lịch Tập'!H154</f>
        <v>0</v>
      </c>
      <c r="E64" t="str">
        <f>VLOOKUP(Table2[[#This Row],[Exercise]],Table1[],2,FALSE)</f>
        <v>Chest</v>
      </c>
      <c r="F64" t="str">
        <f>VLOOKUP(Table2[[#This Row],[Exercise]],Table1[],3,FALSE)</f>
        <v>Upper Chest</v>
      </c>
      <c r="G64" t="str">
        <f>IF(LEN(Table2[[#This Row],[Exercise]])&gt;1,Table2[[#This Row],[Nhóm cơ Sript]],$E$3)</f>
        <v>Leg</v>
      </c>
      <c r="H64" t="str">
        <f>IF(LEN(Table2[[#This Row],[Exercise]])&gt;1,Table2[[#This Row],[Detail Script]],$F$3)</f>
        <v>Quads</v>
      </c>
      <c r="I64">
        <f>'Lịch Tập'!K154</f>
        <v>0</v>
      </c>
      <c r="J64">
        <f>'Lịch Tập'!L154</f>
        <v>0</v>
      </c>
      <c r="L64">
        <f>'Các Bài Tập'!G13</f>
        <v>0</v>
      </c>
      <c r="M64" s="2" t="str">
        <f>'Các Bài Tập'!$F$2</f>
        <v>Shoulder</v>
      </c>
      <c r="N64" s="2" t="str">
        <f>'Các Bài Tập'!$G$3</f>
        <v>Mid Delt</v>
      </c>
    </row>
    <row r="65" spans="2:14" x14ac:dyDescent="0.2">
      <c r="B65" s="2" t="s">
        <v>167</v>
      </c>
      <c r="C65" s="2" t="str">
        <f t="shared" si="1"/>
        <v>Week 2</v>
      </c>
      <c r="D65">
        <f>'Lịch Tập'!H160</f>
        <v>0</v>
      </c>
      <c r="E65" t="str">
        <f>VLOOKUP(Table2[[#This Row],[Exercise]],Table1[],2,FALSE)</f>
        <v>Chest</v>
      </c>
      <c r="F65" t="str">
        <f>VLOOKUP(Table2[[#This Row],[Exercise]],Table1[],3,FALSE)</f>
        <v>Upper Chest</v>
      </c>
      <c r="G65" t="str">
        <f>IF(LEN(Table2[[#This Row],[Exercise]])&gt;1,Table2[[#This Row],[Nhóm cơ Sript]],$E$3)</f>
        <v>Leg</v>
      </c>
      <c r="H65" t="str">
        <f>IF(LEN(Table2[[#This Row],[Exercise]])&gt;1,Table2[[#This Row],[Detail Script]],$F$3)</f>
        <v>Quads</v>
      </c>
      <c r="I65">
        <f>'Lịch Tập'!K160</f>
        <v>0</v>
      </c>
      <c r="J65">
        <f>'Lịch Tập'!L160</f>
        <v>0</v>
      </c>
      <c r="L65">
        <f>'Các Bài Tập'!G14</f>
        <v>0</v>
      </c>
      <c r="M65" s="2" t="str">
        <f>'Các Bài Tập'!$F$2</f>
        <v>Shoulder</v>
      </c>
      <c r="N65" s="2" t="str">
        <f>'Các Bài Tập'!$G$3</f>
        <v>Mid Delt</v>
      </c>
    </row>
    <row r="66" spans="2:14" x14ac:dyDescent="0.2">
      <c r="B66" s="2" t="s">
        <v>167</v>
      </c>
      <c r="C66" s="2" t="str">
        <f t="shared" si="1"/>
        <v>Week 2</v>
      </c>
      <c r="D66">
        <f>'Lịch Tập'!H166</f>
        <v>0</v>
      </c>
      <c r="E66" t="str">
        <f>VLOOKUP(Table2[[#This Row],[Exercise]],Table1[],2,FALSE)</f>
        <v>Chest</v>
      </c>
      <c r="F66" t="str">
        <f>VLOOKUP(Table2[[#This Row],[Exercise]],Table1[],3,FALSE)</f>
        <v>Upper Chest</v>
      </c>
      <c r="G66" t="str">
        <f>IF(LEN(Table2[[#This Row],[Exercise]])&gt;1,Table2[[#This Row],[Nhóm cơ Sript]],$E$3)</f>
        <v>Leg</v>
      </c>
      <c r="H66" t="str">
        <f>IF(LEN(Table2[[#This Row],[Exercise]])&gt;1,Table2[[#This Row],[Detail Script]],$F$3)</f>
        <v>Quads</v>
      </c>
      <c r="I66">
        <f>'Lịch Tập'!K166</f>
        <v>0</v>
      </c>
      <c r="J66">
        <f>'Lịch Tập'!L166</f>
        <v>0</v>
      </c>
      <c r="L66">
        <f>'Các Bài Tập'!G15</f>
        <v>0</v>
      </c>
      <c r="M66" s="2" t="str">
        <f>'Các Bài Tập'!$F$2</f>
        <v>Shoulder</v>
      </c>
      <c r="N66" s="2" t="str">
        <f>'Các Bài Tập'!$G$3</f>
        <v>Mid Delt</v>
      </c>
    </row>
    <row r="67" spans="2:14" x14ac:dyDescent="0.2">
      <c r="B67" s="2" t="s">
        <v>167</v>
      </c>
      <c r="C67" s="2" t="str">
        <f t="shared" si="1"/>
        <v>Week 2</v>
      </c>
      <c r="D67">
        <f>'Lịch Tập'!H172</f>
        <v>0</v>
      </c>
      <c r="E67" t="str">
        <f>VLOOKUP(Table2[[#This Row],[Exercise]],Table1[],2,FALSE)</f>
        <v>Chest</v>
      </c>
      <c r="F67" t="str">
        <f>VLOOKUP(Table2[[#This Row],[Exercise]],Table1[],3,FALSE)</f>
        <v>Upper Chest</v>
      </c>
      <c r="G67" t="str">
        <f>IF(LEN(Table2[[#This Row],[Exercise]])&gt;1,Table2[[#This Row],[Nhóm cơ Sript]],$E$3)</f>
        <v>Leg</v>
      </c>
      <c r="H67" t="str">
        <f>IF(LEN(Table2[[#This Row],[Exercise]])&gt;1,Table2[[#This Row],[Detail Script]],$F$3)</f>
        <v>Quads</v>
      </c>
      <c r="I67">
        <f>'Lịch Tập'!K172</f>
        <v>0</v>
      </c>
      <c r="J67">
        <f>'Lịch Tập'!L172</f>
        <v>0</v>
      </c>
      <c r="L67">
        <f>'Các Bài Tập'!G16</f>
        <v>0</v>
      </c>
      <c r="M67" s="2" t="str">
        <f>'Các Bài Tập'!$F$2</f>
        <v>Shoulder</v>
      </c>
      <c r="N67" s="2" t="str">
        <f>'Các Bài Tập'!$G$3</f>
        <v>Mid Delt</v>
      </c>
    </row>
    <row r="68" spans="2:14" x14ac:dyDescent="0.2">
      <c r="B68" s="2" t="s">
        <v>167</v>
      </c>
      <c r="C68" s="2" t="str">
        <f t="shared" si="1"/>
        <v>Week 2</v>
      </c>
      <c r="D68">
        <f>'Lịch Tập'!H178</f>
        <v>0</v>
      </c>
      <c r="E68" t="str">
        <f>VLOOKUP(Table2[[#This Row],[Exercise]],Table1[],2,FALSE)</f>
        <v>Chest</v>
      </c>
      <c r="F68" t="str">
        <f>VLOOKUP(Table2[[#This Row],[Exercise]],Table1[],3,FALSE)</f>
        <v>Upper Chest</v>
      </c>
      <c r="G68" t="str">
        <f>IF(LEN(Table2[[#This Row],[Exercise]])&gt;1,Table2[[#This Row],[Nhóm cơ Sript]],$E$3)</f>
        <v>Leg</v>
      </c>
      <c r="H68" t="str">
        <f>IF(LEN(Table2[[#This Row],[Exercise]])&gt;1,Table2[[#This Row],[Detail Script]],$F$3)</f>
        <v>Quads</v>
      </c>
      <c r="I68">
        <f>'Lịch Tập'!K178</f>
        <v>0</v>
      </c>
      <c r="J68">
        <f>'Lịch Tập'!L178</f>
        <v>0</v>
      </c>
      <c r="L68" t="str">
        <f>'Các Bài Tập'!H4</f>
        <v>Face Pull</v>
      </c>
      <c r="M68" s="2" t="str">
        <f>'Các Bài Tập'!$F$2</f>
        <v>Shoulder</v>
      </c>
      <c r="N68" s="2" t="str">
        <f>'Các Bài Tập'!$H$3</f>
        <v>Rear Delt</v>
      </c>
    </row>
    <row r="69" spans="2:14" x14ac:dyDescent="0.2">
      <c r="B69" s="2" t="s">
        <v>168</v>
      </c>
      <c r="C69" s="2" t="str">
        <f t="shared" si="1"/>
        <v>Week 2</v>
      </c>
      <c r="D69">
        <f>'Lịch Tập'!H184</f>
        <v>0</v>
      </c>
      <c r="E69" t="str">
        <f>VLOOKUP(Table2[[#This Row],[Exercise]],Table1[],2,FALSE)</f>
        <v>Chest</v>
      </c>
      <c r="F69" t="str">
        <f>VLOOKUP(Table2[[#This Row],[Exercise]],Table1[],3,FALSE)</f>
        <v>Upper Chest</v>
      </c>
      <c r="G69" t="str">
        <f>IF(LEN(Table2[[#This Row],[Exercise]])&gt;1,Table2[[#This Row],[Nhóm cơ Sript]],$E$3)</f>
        <v>Leg</v>
      </c>
      <c r="H69" t="str">
        <f>IF(LEN(Table2[[#This Row],[Exercise]])&gt;1,Table2[[#This Row],[Detail Script]],$F$3)</f>
        <v>Quads</v>
      </c>
      <c r="I69">
        <f>'Lịch Tập'!K184</f>
        <v>0</v>
      </c>
      <c r="J69">
        <f>'Lịch Tập'!L184</f>
        <v>0</v>
      </c>
      <c r="L69" t="str">
        <f>'Các Bài Tập'!H5</f>
        <v xml:space="preserve">Reverse Cable Fly </v>
      </c>
      <c r="M69" s="2" t="str">
        <f>'Các Bài Tập'!$F$2</f>
        <v>Shoulder</v>
      </c>
      <c r="N69" s="2" t="str">
        <f>'Các Bài Tập'!$H$3</f>
        <v>Rear Delt</v>
      </c>
    </row>
    <row r="70" spans="2:14" x14ac:dyDescent="0.2">
      <c r="B70" s="2" t="s">
        <v>168</v>
      </c>
      <c r="C70" s="2" t="str">
        <f t="shared" si="1"/>
        <v>Week 2</v>
      </c>
      <c r="D70">
        <f>'Lịch Tập'!H190</f>
        <v>0</v>
      </c>
      <c r="E70" t="str">
        <f>VLOOKUP(Table2[[#This Row],[Exercise]],Table1[],2,FALSE)</f>
        <v>Chest</v>
      </c>
      <c r="F70" t="str">
        <f>VLOOKUP(Table2[[#This Row],[Exercise]],Table1[],3,FALSE)</f>
        <v>Upper Chest</v>
      </c>
      <c r="G70" t="str">
        <f>IF(LEN(Table2[[#This Row],[Exercise]])&gt;1,Table2[[#This Row],[Nhóm cơ Sript]],$E$3)</f>
        <v>Leg</v>
      </c>
      <c r="H70" t="str">
        <f>IF(LEN(Table2[[#This Row],[Exercise]])&gt;1,Table2[[#This Row],[Detail Script]],$F$3)</f>
        <v>Quads</v>
      </c>
      <c r="I70">
        <f>'Lịch Tập'!K190</f>
        <v>0</v>
      </c>
      <c r="J70">
        <f>'Lịch Tập'!L190</f>
        <v>0</v>
      </c>
      <c r="L70" t="str">
        <f>'Các Bài Tập'!H6</f>
        <v>Reverse Cable Fly</v>
      </c>
      <c r="M70" s="2" t="str">
        <f>'Các Bài Tập'!$F$2</f>
        <v>Shoulder</v>
      </c>
      <c r="N70" s="2" t="str">
        <f>'Các Bài Tập'!$H$3</f>
        <v>Rear Delt</v>
      </c>
    </row>
    <row r="71" spans="2:14" x14ac:dyDescent="0.2">
      <c r="B71" s="2" t="s">
        <v>168</v>
      </c>
      <c r="C71" s="2" t="str">
        <f t="shared" si="1"/>
        <v>Week 2</v>
      </c>
      <c r="D71">
        <f>'Lịch Tập'!H196</f>
        <v>0</v>
      </c>
      <c r="E71" t="str">
        <f>VLOOKUP(Table2[[#This Row],[Exercise]],Table1[],2,FALSE)</f>
        <v>Chest</v>
      </c>
      <c r="F71" t="str">
        <f>VLOOKUP(Table2[[#This Row],[Exercise]],Table1[],3,FALSE)</f>
        <v>Upper Chest</v>
      </c>
      <c r="G71" t="str">
        <f>IF(LEN(Table2[[#This Row],[Exercise]])&gt;1,Table2[[#This Row],[Nhóm cơ Sript]],$E$3)</f>
        <v>Leg</v>
      </c>
      <c r="H71" t="str">
        <f>IF(LEN(Table2[[#This Row],[Exercise]])&gt;1,Table2[[#This Row],[Detail Script]],$F$3)</f>
        <v>Quads</v>
      </c>
      <c r="I71">
        <f>'Lịch Tập'!K196</f>
        <v>0</v>
      </c>
      <c r="J71">
        <f>'Lịch Tập'!L196</f>
        <v>0</v>
      </c>
      <c r="L71" t="str">
        <f>'Các Bài Tập'!H7</f>
        <v>Rear Delt Raise</v>
      </c>
      <c r="M71" s="2" t="str">
        <f>'Các Bài Tập'!$F$2</f>
        <v>Shoulder</v>
      </c>
      <c r="N71" s="2" t="str">
        <f>'Các Bài Tập'!$H$3</f>
        <v>Rear Delt</v>
      </c>
    </row>
    <row r="72" spans="2:14" x14ac:dyDescent="0.2">
      <c r="B72" s="2" t="s">
        <v>168</v>
      </c>
      <c r="C72" s="2" t="str">
        <f t="shared" si="1"/>
        <v>Week 2</v>
      </c>
      <c r="D72">
        <f>'Lịch Tập'!H202</f>
        <v>0</v>
      </c>
      <c r="E72" t="str">
        <f>VLOOKUP(Table2[[#This Row],[Exercise]],Table1[],2,FALSE)</f>
        <v>Chest</v>
      </c>
      <c r="F72" t="str">
        <f>VLOOKUP(Table2[[#This Row],[Exercise]],Table1[],3,FALSE)</f>
        <v>Upper Chest</v>
      </c>
      <c r="G72" t="str">
        <f>IF(LEN(Table2[[#This Row],[Exercise]])&gt;1,Table2[[#This Row],[Nhóm cơ Sript]],$E$3)</f>
        <v>Leg</v>
      </c>
      <c r="H72" t="str">
        <f>IF(LEN(Table2[[#This Row],[Exercise]])&gt;1,Table2[[#This Row],[Detail Script]],$F$3)</f>
        <v>Quads</v>
      </c>
      <c r="I72">
        <f>'Lịch Tập'!K202</f>
        <v>0</v>
      </c>
      <c r="J72">
        <f>'Lịch Tập'!L202</f>
        <v>0</v>
      </c>
      <c r="L72">
        <f>'Các Bài Tập'!H8</f>
        <v>0</v>
      </c>
      <c r="M72" s="2" t="str">
        <f>'Các Bài Tập'!$F$2</f>
        <v>Shoulder</v>
      </c>
      <c r="N72" s="2" t="str">
        <f>'Các Bài Tập'!$H$3</f>
        <v>Rear Delt</v>
      </c>
    </row>
    <row r="73" spans="2:14" x14ac:dyDescent="0.2">
      <c r="B73" s="2" t="s">
        <v>168</v>
      </c>
      <c r="C73" s="2" t="str">
        <f t="shared" si="1"/>
        <v>Week 2</v>
      </c>
      <c r="D73">
        <f>'Lịch Tập'!H208</f>
        <v>0</v>
      </c>
      <c r="E73" t="str">
        <f>VLOOKUP(Table2[[#This Row],[Exercise]],Table1[],2,FALSE)</f>
        <v>Chest</v>
      </c>
      <c r="F73" t="str">
        <f>VLOOKUP(Table2[[#This Row],[Exercise]],Table1[],3,FALSE)</f>
        <v>Upper Chest</v>
      </c>
      <c r="G73" t="str">
        <f>IF(LEN(Table2[[#This Row],[Exercise]])&gt;1,Table2[[#This Row],[Nhóm cơ Sript]],$E$3)</f>
        <v>Leg</v>
      </c>
      <c r="H73" t="str">
        <f>IF(LEN(Table2[[#This Row],[Exercise]])&gt;1,Table2[[#This Row],[Detail Script]],$F$3)</f>
        <v>Quads</v>
      </c>
      <c r="I73">
        <f>'Lịch Tập'!K208</f>
        <v>0</v>
      </c>
      <c r="J73">
        <f>'Lịch Tập'!L208</f>
        <v>0</v>
      </c>
      <c r="L73">
        <f>'Các Bài Tập'!H9</f>
        <v>0</v>
      </c>
      <c r="M73" s="2" t="str">
        <f>'Các Bài Tập'!$F$2</f>
        <v>Shoulder</v>
      </c>
      <c r="N73" s="2" t="str">
        <f>'Các Bài Tập'!$H$3</f>
        <v>Rear Delt</v>
      </c>
    </row>
    <row r="74" spans="2:14" x14ac:dyDescent="0.2">
      <c r="B74" s="2" t="s">
        <v>168</v>
      </c>
      <c r="C74" s="2" t="str">
        <f t="shared" si="1"/>
        <v>Week 2</v>
      </c>
      <c r="D74">
        <f>'Lịch Tập'!H214</f>
        <v>0</v>
      </c>
      <c r="E74" t="str">
        <f>VLOOKUP(Table2[[#This Row],[Exercise]],Table1[],2,FALSE)</f>
        <v>Chest</v>
      </c>
      <c r="F74" t="str">
        <f>VLOOKUP(Table2[[#This Row],[Exercise]],Table1[],3,FALSE)</f>
        <v>Upper Chest</v>
      </c>
      <c r="G74" t="str">
        <f>IF(LEN(Table2[[#This Row],[Exercise]])&gt;1,Table2[[#This Row],[Nhóm cơ Sript]],$E$3)</f>
        <v>Leg</v>
      </c>
      <c r="H74" t="str">
        <f>IF(LEN(Table2[[#This Row],[Exercise]])&gt;1,Table2[[#This Row],[Detail Script]],$F$3)</f>
        <v>Quads</v>
      </c>
      <c r="I74">
        <f>'Lịch Tập'!K214</f>
        <v>0</v>
      </c>
      <c r="J74">
        <f>'Lịch Tập'!L214</f>
        <v>0</v>
      </c>
      <c r="L74">
        <f>'Các Bài Tập'!H10</f>
        <v>0</v>
      </c>
      <c r="M74" s="2" t="str">
        <f>'Các Bài Tập'!$F$2</f>
        <v>Shoulder</v>
      </c>
      <c r="N74" s="2" t="str">
        <f>'Các Bài Tập'!$H$3</f>
        <v>Rear Delt</v>
      </c>
    </row>
    <row r="75" spans="2:14" x14ac:dyDescent="0.2">
      <c r="B75" s="2" t="s">
        <v>163</v>
      </c>
      <c r="C75" s="2" t="s">
        <v>192</v>
      </c>
      <c r="D75">
        <f>'Lịch Tập'!M4</f>
        <v>0</v>
      </c>
      <c r="E75" t="str">
        <f>VLOOKUP(Table2[[#This Row],[Exercise]],Table1[],2,FALSE)</f>
        <v>Chest</v>
      </c>
      <c r="F75" t="str">
        <f>VLOOKUP(Table2[[#This Row],[Exercise]],Table1[],3,FALSE)</f>
        <v>Upper Chest</v>
      </c>
      <c r="G75" t="str">
        <f>IF(LEN(Table2[[#This Row],[Exercise]])&gt;1,Table2[[#This Row],[Nhóm cơ Sript]],$E$3)</f>
        <v>Leg</v>
      </c>
      <c r="H75" t="str">
        <f>IF(LEN(Table2[[#This Row],[Exercise]])&gt;1,Table2[[#This Row],[Detail Script]],$F$3)</f>
        <v>Quads</v>
      </c>
      <c r="I75">
        <f>'Lịch Tập'!P4</f>
        <v>0</v>
      </c>
      <c r="J75">
        <f>'Lịch Tập'!Q4</f>
        <v>0</v>
      </c>
      <c r="L75">
        <f>'Các Bài Tập'!H11</f>
        <v>0</v>
      </c>
      <c r="M75" s="2" t="str">
        <f>'Các Bài Tập'!$F$2</f>
        <v>Shoulder</v>
      </c>
      <c r="N75" s="2" t="str">
        <f>'Các Bài Tập'!$H$3</f>
        <v>Rear Delt</v>
      </c>
    </row>
    <row r="76" spans="2:14" x14ac:dyDescent="0.2">
      <c r="B76" s="2" t="s">
        <v>163</v>
      </c>
      <c r="C76" s="2" t="str">
        <f>$C$75</f>
        <v>Week 3</v>
      </c>
      <c r="D76">
        <f>'Lịch Tập'!M10</f>
        <v>0</v>
      </c>
      <c r="E76" t="str">
        <f>VLOOKUP(Table2[[#This Row],[Exercise]],Table1[],2,FALSE)</f>
        <v>Chest</v>
      </c>
      <c r="F76" t="str">
        <f>VLOOKUP(Table2[[#This Row],[Exercise]],Table1[],3,FALSE)</f>
        <v>Upper Chest</v>
      </c>
      <c r="G76" t="str">
        <f>IF(LEN(Table2[[#This Row],[Exercise]])&gt;1,Table2[[#This Row],[Nhóm cơ Sript]],$E$3)</f>
        <v>Leg</v>
      </c>
      <c r="H76" t="str">
        <f>IF(LEN(Table2[[#This Row],[Exercise]])&gt;1,Table2[[#This Row],[Detail Script]],$F$3)</f>
        <v>Quads</v>
      </c>
      <c r="I76">
        <f>'Lịch Tập'!P10</f>
        <v>0</v>
      </c>
      <c r="J76">
        <f>'Lịch Tập'!Q10</f>
        <v>0</v>
      </c>
      <c r="L76">
        <f>'Các Bài Tập'!H12</f>
        <v>0</v>
      </c>
      <c r="M76" s="2" t="str">
        <f>'Các Bài Tập'!$F$2</f>
        <v>Shoulder</v>
      </c>
      <c r="N76" s="2" t="str">
        <f>'Các Bài Tập'!$H$3</f>
        <v>Rear Delt</v>
      </c>
    </row>
    <row r="77" spans="2:14" x14ac:dyDescent="0.2">
      <c r="B77" s="2" t="s">
        <v>163</v>
      </c>
      <c r="C77" s="2" t="str">
        <f t="shared" ref="C77:C110" si="2">$C$75</f>
        <v>Week 3</v>
      </c>
      <c r="D77">
        <f>'Lịch Tập'!M16</f>
        <v>0</v>
      </c>
      <c r="E77" t="str">
        <f>VLOOKUP(Table2[[#This Row],[Exercise]],Table1[],2,FALSE)</f>
        <v>Chest</v>
      </c>
      <c r="F77" t="str">
        <f>VLOOKUP(Table2[[#This Row],[Exercise]],Table1[],3,FALSE)</f>
        <v>Upper Chest</v>
      </c>
      <c r="G77" t="str">
        <f>IF(LEN(Table2[[#This Row],[Exercise]])&gt;1,Table2[[#This Row],[Nhóm cơ Sript]],$E$3)</f>
        <v>Leg</v>
      </c>
      <c r="H77" t="str">
        <f>IF(LEN(Table2[[#This Row],[Exercise]])&gt;1,Table2[[#This Row],[Detail Script]],$F$3)</f>
        <v>Quads</v>
      </c>
      <c r="I77">
        <f>'Lịch Tập'!P16</f>
        <v>0</v>
      </c>
      <c r="J77">
        <f>'Lịch Tập'!Q16</f>
        <v>0</v>
      </c>
      <c r="L77">
        <f>'Các Bài Tập'!H13</f>
        <v>0</v>
      </c>
      <c r="M77" s="2" t="str">
        <f>'Các Bài Tập'!$F$2</f>
        <v>Shoulder</v>
      </c>
      <c r="N77" s="2" t="str">
        <f>'Các Bài Tập'!$H$3</f>
        <v>Rear Delt</v>
      </c>
    </row>
    <row r="78" spans="2:14" x14ac:dyDescent="0.2">
      <c r="B78" s="2" t="s">
        <v>163</v>
      </c>
      <c r="C78" s="2" t="str">
        <f t="shared" si="2"/>
        <v>Week 3</v>
      </c>
      <c r="D78">
        <f>'Lịch Tập'!M22</f>
        <v>0</v>
      </c>
      <c r="E78" t="str">
        <f>VLOOKUP(Table2[[#This Row],[Exercise]],Table1[],2,FALSE)</f>
        <v>Chest</v>
      </c>
      <c r="F78" t="str">
        <f>VLOOKUP(Table2[[#This Row],[Exercise]],Table1[],3,FALSE)</f>
        <v>Upper Chest</v>
      </c>
      <c r="G78" t="str">
        <f>IF(LEN(Table2[[#This Row],[Exercise]])&gt;1,Table2[[#This Row],[Nhóm cơ Sript]],$E$3)</f>
        <v>Leg</v>
      </c>
      <c r="H78" t="str">
        <f>IF(LEN(Table2[[#This Row],[Exercise]])&gt;1,Table2[[#This Row],[Detail Script]],$F$3)</f>
        <v>Quads</v>
      </c>
      <c r="I78">
        <f>'Lịch Tập'!P22</f>
        <v>0</v>
      </c>
      <c r="J78">
        <f>'Lịch Tập'!Q22</f>
        <v>0</v>
      </c>
      <c r="L78">
        <f>'Các Bài Tập'!H14</f>
        <v>0</v>
      </c>
      <c r="M78" s="2" t="str">
        <f>'Các Bài Tập'!$F$2</f>
        <v>Shoulder</v>
      </c>
      <c r="N78" s="2" t="str">
        <f>'Các Bài Tập'!$H$3</f>
        <v>Rear Delt</v>
      </c>
    </row>
    <row r="79" spans="2:14" x14ac:dyDescent="0.2">
      <c r="B79" s="2" t="s">
        <v>163</v>
      </c>
      <c r="C79" s="2" t="str">
        <f t="shared" si="2"/>
        <v>Week 3</v>
      </c>
      <c r="D79">
        <f>'Lịch Tập'!M28</f>
        <v>0</v>
      </c>
      <c r="E79" t="str">
        <f>VLOOKUP(Table2[[#This Row],[Exercise]],Table1[],2,FALSE)</f>
        <v>Chest</v>
      </c>
      <c r="F79" t="str">
        <f>VLOOKUP(Table2[[#This Row],[Exercise]],Table1[],3,FALSE)</f>
        <v>Upper Chest</v>
      </c>
      <c r="G79" t="str">
        <f>IF(LEN(Table2[[#This Row],[Exercise]])&gt;1,Table2[[#This Row],[Nhóm cơ Sript]],$E$3)</f>
        <v>Leg</v>
      </c>
      <c r="H79" t="str">
        <f>IF(LEN(Table2[[#This Row],[Exercise]])&gt;1,Table2[[#This Row],[Detail Script]],$F$3)</f>
        <v>Quads</v>
      </c>
      <c r="I79">
        <f>'Lịch Tập'!P28</f>
        <v>0</v>
      </c>
      <c r="J79">
        <f>'Lịch Tập'!Q28</f>
        <v>0</v>
      </c>
      <c r="L79">
        <f>'Các Bài Tập'!H15</f>
        <v>0</v>
      </c>
      <c r="M79" s="2" t="str">
        <f>'Các Bài Tập'!$F$2</f>
        <v>Shoulder</v>
      </c>
      <c r="N79" s="2" t="str">
        <f>'Các Bài Tập'!$H$3</f>
        <v>Rear Delt</v>
      </c>
    </row>
    <row r="80" spans="2:14" x14ac:dyDescent="0.2">
      <c r="B80" s="2" t="s">
        <v>163</v>
      </c>
      <c r="C80" s="2" t="str">
        <f t="shared" si="2"/>
        <v>Week 3</v>
      </c>
      <c r="D80">
        <f>'Lịch Tập'!M34</f>
        <v>0</v>
      </c>
      <c r="E80" t="str">
        <f>VLOOKUP(Table2[[#This Row],[Exercise]],Table1[],2,FALSE)</f>
        <v>Chest</v>
      </c>
      <c r="F80" t="str">
        <f>VLOOKUP(Table2[[#This Row],[Exercise]],Table1[],3,FALSE)</f>
        <v>Upper Chest</v>
      </c>
      <c r="G80" t="str">
        <f>IF(LEN(Table2[[#This Row],[Exercise]])&gt;1,Table2[[#This Row],[Nhóm cơ Sript]],$E$3)</f>
        <v>Leg</v>
      </c>
      <c r="H80" t="str">
        <f>IF(LEN(Table2[[#This Row],[Exercise]])&gt;1,Table2[[#This Row],[Detail Script]],$F$3)</f>
        <v>Quads</v>
      </c>
      <c r="I80">
        <f>'Lịch Tập'!P34</f>
        <v>0</v>
      </c>
      <c r="J80">
        <f>'Lịch Tập'!Q34</f>
        <v>0</v>
      </c>
      <c r="L80">
        <f>'Các Bài Tập'!H16</f>
        <v>0</v>
      </c>
      <c r="M80" s="2" t="str">
        <f>'Các Bài Tập'!$F$2</f>
        <v>Shoulder</v>
      </c>
      <c r="N80" s="2" t="str">
        <f>'Các Bài Tập'!$H$3</f>
        <v>Rear Delt</v>
      </c>
    </row>
    <row r="81" spans="2:14" x14ac:dyDescent="0.2">
      <c r="B81" s="2" t="s">
        <v>164</v>
      </c>
      <c r="C81" s="2" t="str">
        <f t="shared" si="2"/>
        <v>Week 3</v>
      </c>
      <c r="D81">
        <f>'Lịch Tập'!M40</f>
        <v>0</v>
      </c>
      <c r="E81" t="str">
        <f>VLOOKUP(Table2[[#This Row],[Exercise]],Table1[],2,FALSE)</f>
        <v>Chest</v>
      </c>
      <c r="F81" t="str">
        <f>VLOOKUP(Table2[[#This Row],[Exercise]],Table1[],3,FALSE)</f>
        <v>Upper Chest</v>
      </c>
      <c r="G81" t="str">
        <f>IF(LEN(Table2[[#This Row],[Exercise]])&gt;1,Table2[[#This Row],[Nhóm cơ Sript]],$E$3)</f>
        <v>Leg</v>
      </c>
      <c r="H81" t="str">
        <f>IF(LEN(Table2[[#This Row],[Exercise]])&gt;1,Table2[[#This Row],[Detail Script]],$F$3)</f>
        <v>Quads</v>
      </c>
      <c r="I81">
        <f>'Lịch Tập'!P40</f>
        <v>0</v>
      </c>
      <c r="J81">
        <f>'Lịch Tập'!Q40</f>
        <v>0</v>
      </c>
      <c r="L81" t="str">
        <f>'Các Bài Tập'!I4</f>
        <v>Cable Push Down</v>
      </c>
      <c r="M81" s="2" t="str">
        <f>'Các Bài Tập'!$I$3</f>
        <v>Triceps</v>
      </c>
      <c r="N81" s="2" t="str">
        <f>'Các Bài Tập'!$I$3</f>
        <v>Triceps</v>
      </c>
    </row>
    <row r="82" spans="2:14" x14ac:dyDescent="0.2">
      <c r="B82" s="2" t="s">
        <v>164</v>
      </c>
      <c r="C82" s="2" t="str">
        <f t="shared" si="2"/>
        <v>Week 3</v>
      </c>
      <c r="D82">
        <f>'Lịch Tập'!M46</f>
        <v>0</v>
      </c>
      <c r="E82" t="str">
        <f>VLOOKUP(Table2[[#This Row],[Exercise]],Table1[],2,FALSE)</f>
        <v>Chest</v>
      </c>
      <c r="F82" t="str">
        <f>VLOOKUP(Table2[[#This Row],[Exercise]],Table1[],3,FALSE)</f>
        <v>Upper Chest</v>
      </c>
      <c r="G82" t="str">
        <f>IF(LEN(Table2[[#This Row],[Exercise]])&gt;1,Table2[[#This Row],[Nhóm cơ Sript]],$E$3)</f>
        <v>Leg</v>
      </c>
      <c r="H82" t="str">
        <f>IF(LEN(Table2[[#This Row],[Exercise]])&gt;1,Table2[[#This Row],[Detail Script]],$F$3)</f>
        <v>Quads</v>
      </c>
      <c r="I82">
        <f>'Lịch Tập'!P46</f>
        <v>0</v>
      </c>
      <c r="J82">
        <f>'Lịch Tập'!Q46</f>
        <v>0</v>
      </c>
      <c r="L82" t="str">
        <f>'Các Bài Tập'!I5</f>
        <v>DB Skull Crushsher</v>
      </c>
      <c r="M82" s="2" t="str">
        <f>'Các Bài Tập'!$I$3</f>
        <v>Triceps</v>
      </c>
      <c r="N82" s="2" t="str">
        <f>'Các Bài Tập'!$I$3</f>
        <v>Triceps</v>
      </c>
    </row>
    <row r="83" spans="2:14" x14ac:dyDescent="0.2">
      <c r="B83" s="2" t="s">
        <v>164</v>
      </c>
      <c r="C83" s="2" t="str">
        <f t="shared" si="2"/>
        <v>Week 3</v>
      </c>
      <c r="D83">
        <f>'Lịch Tập'!M52</f>
        <v>0</v>
      </c>
      <c r="E83" t="str">
        <f>VLOOKUP(Table2[[#This Row],[Exercise]],Table1[],2,FALSE)</f>
        <v>Chest</v>
      </c>
      <c r="F83" t="str">
        <f>VLOOKUP(Table2[[#This Row],[Exercise]],Table1[],3,FALSE)</f>
        <v>Upper Chest</v>
      </c>
      <c r="G83" t="str">
        <f>IF(LEN(Table2[[#This Row],[Exercise]])&gt;1,Table2[[#This Row],[Nhóm cơ Sript]],$E$3)</f>
        <v>Leg</v>
      </c>
      <c r="H83" t="str">
        <f>IF(LEN(Table2[[#This Row],[Exercise]])&gt;1,Table2[[#This Row],[Detail Script]],$F$3)</f>
        <v>Quads</v>
      </c>
      <c r="I83">
        <f>'Lịch Tập'!P52</f>
        <v>0</v>
      </c>
      <c r="J83">
        <f>'Lịch Tập'!Q52</f>
        <v>0</v>
      </c>
      <c r="L83" t="str">
        <f>'Các Bài Tập'!I6</f>
        <v>BB Skull Crushsher</v>
      </c>
      <c r="M83" s="2" t="str">
        <f>'Các Bài Tập'!$I$3</f>
        <v>Triceps</v>
      </c>
      <c r="N83" s="2" t="str">
        <f>'Các Bài Tập'!$I$3</f>
        <v>Triceps</v>
      </c>
    </row>
    <row r="84" spans="2:14" x14ac:dyDescent="0.2">
      <c r="B84" s="2" t="s">
        <v>164</v>
      </c>
      <c r="C84" s="2" t="str">
        <f t="shared" si="2"/>
        <v>Week 3</v>
      </c>
      <c r="D84">
        <f>'Lịch Tập'!M58</f>
        <v>0</v>
      </c>
      <c r="E84" t="str">
        <f>VLOOKUP(Table2[[#This Row],[Exercise]],Table1[],2,FALSE)</f>
        <v>Chest</v>
      </c>
      <c r="F84" t="str">
        <f>VLOOKUP(Table2[[#This Row],[Exercise]],Table1[],3,FALSE)</f>
        <v>Upper Chest</v>
      </c>
      <c r="G84" t="str">
        <f>IF(LEN(Table2[[#This Row],[Exercise]])&gt;1,Table2[[#This Row],[Nhóm cơ Sript]],$E$3)</f>
        <v>Leg</v>
      </c>
      <c r="H84" t="str">
        <f>IF(LEN(Table2[[#This Row],[Exercise]])&gt;1,Table2[[#This Row],[Detail Script]],$F$3)</f>
        <v>Quads</v>
      </c>
      <c r="I84">
        <f>'Lịch Tập'!P58</f>
        <v>0</v>
      </c>
      <c r="J84">
        <f>'Lịch Tập'!Q58</f>
        <v>0</v>
      </c>
      <c r="L84">
        <f>'Các Bài Tập'!I7</f>
        <v>0</v>
      </c>
      <c r="M84" s="2" t="str">
        <f>'Các Bài Tập'!$I$3</f>
        <v>Triceps</v>
      </c>
      <c r="N84" s="2" t="str">
        <f>'Các Bài Tập'!$I$3</f>
        <v>Triceps</v>
      </c>
    </row>
    <row r="85" spans="2:14" x14ac:dyDescent="0.2">
      <c r="B85" s="2" t="s">
        <v>164</v>
      </c>
      <c r="C85" s="2" t="str">
        <f t="shared" si="2"/>
        <v>Week 3</v>
      </c>
      <c r="D85">
        <f>'Lịch Tập'!M64</f>
        <v>0</v>
      </c>
      <c r="E85" t="str">
        <f>VLOOKUP(Table2[[#This Row],[Exercise]],Table1[],2,FALSE)</f>
        <v>Chest</v>
      </c>
      <c r="F85" t="str">
        <f>VLOOKUP(Table2[[#This Row],[Exercise]],Table1[],3,FALSE)</f>
        <v>Upper Chest</v>
      </c>
      <c r="G85" t="str">
        <f>IF(LEN(Table2[[#This Row],[Exercise]])&gt;1,Table2[[#This Row],[Nhóm cơ Sript]],$E$3)</f>
        <v>Leg</v>
      </c>
      <c r="H85" t="str">
        <f>IF(LEN(Table2[[#This Row],[Exercise]])&gt;1,Table2[[#This Row],[Detail Script]],$F$3)</f>
        <v>Quads</v>
      </c>
      <c r="I85">
        <f>'Lịch Tập'!P64</f>
        <v>0</v>
      </c>
      <c r="J85">
        <f>'Lịch Tập'!Q64</f>
        <v>0</v>
      </c>
      <c r="L85">
        <f>'Các Bài Tập'!I8</f>
        <v>0</v>
      </c>
      <c r="M85" s="2" t="str">
        <f>'Các Bài Tập'!$I$3</f>
        <v>Triceps</v>
      </c>
      <c r="N85" s="2" t="str">
        <f>'Các Bài Tập'!$I$3</f>
        <v>Triceps</v>
      </c>
    </row>
    <row r="86" spans="2:14" x14ac:dyDescent="0.2">
      <c r="B86" s="2" t="s">
        <v>164</v>
      </c>
      <c r="C86" s="2" t="str">
        <f t="shared" si="2"/>
        <v>Week 3</v>
      </c>
      <c r="D86">
        <f>'Lịch Tập'!M70</f>
        <v>0</v>
      </c>
      <c r="E86" t="str">
        <f>VLOOKUP(Table2[[#This Row],[Exercise]],Table1[],2,FALSE)</f>
        <v>Chest</v>
      </c>
      <c r="F86" t="str">
        <f>VLOOKUP(Table2[[#This Row],[Exercise]],Table1[],3,FALSE)</f>
        <v>Upper Chest</v>
      </c>
      <c r="G86" t="str">
        <f>IF(LEN(Table2[[#This Row],[Exercise]])&gt;1,Table2[[#This Row],[Nhóm cơ Sript]],$E$3)</f>
        <v>Leg</v>
      </c>
      <c r="H86" t="str">
        <f>IF(LEN(Table2[[#This Row],[Exercise]])&gt;1,Table2[[#This Row],[Detail Script]],$F$3)</f>
        <v>Quads</v>
      </c>
      <c r="I86">
        <f>'Lịch Tập'!P70</f>
        <v>0</v>
      </c>
      <c r="J86">
        <f>'Lịch Tập'!Q70</f>
        <v>0</v>
      </c>
      <c r="L86">
        <f>'Các Bài Tập'!I9</f>
        <v>0</v>
      </c>
      <c r="M86" s="2" t="str">
        <f>'Các Bài Tập'!$I$3</f>
        <v>Triceps</v>
      </c>
      <c r="N86" s="2" t="str">
        <f>'Các Bài Tập'!$I$3</f>
        <v>Triceps</v>
      </c>
    </row>
    <row r="87" spans="2:14" x14ac:dyDescent="0.2">
      <c r="B87" s="2" t="s">
        <v>165</v>
      </c>
      <c r="C87" s="2" t="str">
        <f t="shared" si="2"/>
        <v>Week 3</v>
      </c>
      <c r="D87">
        <f>'Lịch Tập'!M76</f>
        <v>0</v>
      </c>
      <c r="E87" t="str">
        <f>VLOOKUP(Table2[[#This Row],[Exercise]],Table1[],2,FALSE)</f>
        <v>Chest</v>
      </c>
      <c r="F87" t="str">
        <f>VLOOKUP(Table2[[#This Row],[Exercise]],Table1[],3,FALSE)</f>
        <v>Upper Chest</v>
      </c>
      <c r="G87" t="str">
        <f>IF(LEN(Table2[[#This Row],[Exercise]])&gt;1,Table2[[#This Row],[Nhóm cơ Sript]],$E$3)</f>
        <v>Leg</v>
      </c>
      <c r="H87" t="str">
        <f>IF(LEN(Table2[[#This Row],[Exercise]])&gt;1,Table2[[#This Row],[Detail Script]],$F$3)</f>
        <v>Quads</v>
      </c>
      <c r="I87">
        <f>'Lịch Tập'!P76</f>
        <v>0</v>
      </c>
      <c r="J87">
        <f>'Lịch Tập'!Q76</f>
        <v>0</v>
      </c>
      <c r="L87">
        <f>'Các Bài Tập'!I10</f>
        <v>0</v>
      </c>
      <c r="M87" s="2" t="str">
        <f>'Các Bài Tập'!$I$3</f>
        <v>Triceps</v>
      </c>
      <c r="N87" s="2" t="str">
        <f>'Các Bài Tập'!$I$3</f>
        <v>Triceps</v>
      </c>
    </row>
    <row r="88" spans="2:14" x14ac:dyDescent="0.2">
      <c r="B88" s="2" t="s">
        <v>165</v>
      </c>
      <c r="C88" s="2" t="str">
        <f t="shared" si="2"/>
        <v>Week 3</v>
      </c>
      <c r="D88">
        <f>'Lịch Tập'!M82</f>
        <v>0</v>
      </c>
      <c r="E88" t="str">
        <f>VLOOKUP(Table2[[#This Row],[Exercise]],Table1[],2,FALSE)</f>
        <v>Chest</v>
      </c>
      <c r="F88" t="str">
        <f>VLOOKUP(Table2[[#This Row],[Exercise]],Table1[],3,FALSE)</f>
        <v>Upper Chest</v>
      </c>
      <c r="G88" t="str">
        <f>IF(LEN(Table2[[#This Row],[Exercise]])&gt;1,Table2[[#This Row],[Nhóm cơ Sript]],$E$3)</f>
        <v>Leg</v>
      </c>
      <c r="H88" t="str">
        <f>IF(LEN(Table2[[#This Row],[Exercise]])&gt;1,Table2[[#This Row],[Detail Script]],$F$3)</f>
        <v>Quads</v>
      </c>
      <c r="I88">
        <f>'Lịch Tập'!P82</f>
        <v>0</v>
      </c>
      <c r="J88">
        <f>'Lịch Tập'!Q82</f>
        <v>0</v>
      </c>
      <c r="L88">
        <f>'Các Bài Tập'!I11</f>
        <v>0</v>
      </c>
      <c r="M88" s="2" t="str">
        <f>'Các Bài Tập'!$I$3</f>
        <v>Triceps</v>
      </c>
      <c r="N88" s="2" t="str">
        <f>'Các Bài Tập'!$I$3</f>
        <v>Triceps</v>
      </c>
    </row>
    <row r="89" spans="2:14" x14ac:dyDescent="0.2">
      <c r="B89" s="2" t="s">
        <v>165</v>
      </c>
      <c r="C89" s="2" t="str">
        <f t="shared" si="2"/>
        <v>Week 3</v>
      </c>
      <c r="D89">
        <f>'Lịch Tập'!M88</f>
        <v>0</v>
      </c>
      <c r="E89" t="str">
        <f>VLOOKUP(Table2[[#This Row],[Exercise]],Table1[],2,FALSE)</f>
        <v>Chest</v>
      </c>
      <c r="F89" t="str">
        <f>VLOOKUP(Table2[[#This Row],[Exercise]],Table1[],3,FALSE)</f>
        <v>Upper Chest</v>
      </c>
      <c r="G89" t="str">
        <f>IF(LEN(Table2[[#This Row],[Exercise]])&gt;1,Table2[[#This Row],[Nhóm cơ Sript]],$E$3)</f>
        <v>Leg</v>
      </c>
      <c r="H89" t="str">
        <f>IF(LEN(Table2[[#This Row],[Exercise]])&gt;1,Table2[[#This Row],[Detail Script]],$F$3)</f>
        <v>Quads</v>
      </c>
      <c r="I89">
        <f>'Lịch Tập'!P88</f>
        <v>0</v>
      </c>
      <c r="J89">
        <f>'Lịch Tập'!Q88</f>
        <v>0</v>
      </c>
      <c r="L89">
        <f>'Các Bài Tập'!I12</f>
        <v>0</v>
      </c>
      <c r="M89" s="2" t="str">
        <f>'Các Bài Tập'!$I$3</f>
        <v>Triceps</v>
      </c>
      <c r="N89" s="2" t="str">
        <f>'Các Bài Tập'!$I$3</f>
        <v>Triceps</v>
      </c>
    </row>
    <row r="90" spans="2:14" x14ac:dyDescent="0.2">
      <c r="B90" s="2" t="s">
        <v>165</v>
      </c>
      <c r="C90" s="2" t="str">
        <f t="shared" si="2"/>
        <v>Week 3</v>
      </c>
      <c r="D90">
        <f>'Lịch Tập'!M94</f>
        <v>0</v>
      </c>
      <c r="E90" t="str">
        <f>VLOOKUP(Table2[[#This Row],[Exercise]],Table1[],2,FALSE)</f>
        <v>Chest</v>
      </c>
      <c r="F90" t="str">
        <f>VLOOKUP(Table2[[#This Row],[Exercise]],Table1[],3,FALSE)</f>
        <v>Upper Chest</v>
      </c>
      <c r="G90" t="str">
        <f>IF(LEN(Table2[[#This Row],[Exercise]])&gt;1,Table2[[#This Row],[Nhóm cơ Sript]],$E$3)</f>
        <v>Leg</v>
      </c>
      <c r="H90" t="str">
        <f>IF(LEN(Table2[[#This Row],[Exercise]])&gt;1,Table2[[#This Row],[Detail Script]],$F$3)</f>
        <v>Quads</v>
      </c>
      <c r="I90">
        <f>'Lịch Tập'!P94</f>
        <v>0</v>
      </c>
      <c r="J90">
        <f>'Lịch Tập'!Q94</f>
        <v>0</v>
      </c>
      <c r="L90">
        <f>'Các Bài Tập'!I13</f>
        <v>0</v>
      </c>
      <c r="M90" s="2" t="str">
        <f>'Các Bài Tập'!$I$3</f>
        <v>Triceps</v>
      </c>
      <c r="N90" s="2" t="str">
        <f>'Các Bài Tập'!$I$3</f>
        <v>Triceps</v>
      </c>
    </row>
    <row r="91" spans="2:14" x14ac:dyDescent="0.2">
      <c r="B91" s="2" t="s">
        <v>165</v>
      </c>
      <c r="C91" s="2" t="str">
        <f t="shared" si="2"/>
        <v>Week 3</v>
      </c>
      <c r="D91">
        <f>'Lịch Tập'!M100</f>
        <v>0</v>
      </c>
      <c r="E91" t="str">
        <f>VLOOKUP(Table2[[#This Row],[Exercise]],Table1[],2,FALSE)</f>
        <v>Chest</v>
      </c>
      <c r="F91" t="str">
        <f>VLOOKUP(Table2[[#This Row],[Exercise]],Table1[],3,FALSE)</f>
        <v>Upper Chest</v>
      </c>
      <c r="G91" t="str">
        <f>IF(LEN(Table2[[#This Row],[Exercise]])&gt;1,Table2[[#This Row],[Nhóm cơ Sript]],$E$3)</f>
        <v>Leg</v>
      </c>
      <c r="H91" t="str">
        <f>IF(LEN(Table2[[#This Row],[Exercise]])&gt;1,Table2[[#This Row],[Detail Script]],$F$3)</f>
        <v>Quads</v>
      </c>
      <c r="I91">
        <f>'Lịch Tập'!P100</f>
        <v>0</v>
      </c>
      <c r="J91">
        <f>'Lịch Tập'!Q100</f>
        <v>0</v>
      </c>
      <c r="L91">
        <f>'Các Bài Tập'!I14</f>
        <v>0</v>
      </c>
      <c r="M91" s="2" t="str">
        <f>'Các Bài Tập'!$I$3</f>
        <v>Triceps</v>
      </c>
      <c r="N91" s="2" t="str">
        <f>'Các Bài Tập'!$I$3</f>
        <v>Triceps</v>
      </c>
    </row>
    <row r="92" spans="2:14" x14ac:dyDescent="0.2">
      <c r="B92" s="2" t="s">
        <v>165</v>
      </c>
      <c r="C92" s="2" t="str">
        <f t="shared" si="2"/>
        <v>Week 3</v>
      </c>
      <c r="D92">
        <f>'Lịch Tập'!M106</f>
        <v>0</v>
      </c>
      <c r="E92" t="str">
        <f>VLOOKUP(Table2[[#This Row],[Exercise]],Table1[],2,FALSE)</f>
        <v>Chest</v>
      </c>
      <c r="F92" t="str">
        <f>VLOOKUP(Table2[[#This Row],[Exercise]],Table1[],3,FALSE)</f>
        <v>Upper Chest</v>
      </c>
      <c r="G92" t="str">
        <f>IF(LEN(Table2[[#This Row],[Exercise]])&gt;1,Table2[[#This Row],[Nhóm cơ Sript]],$E$3)</f>
        <v>Leg</v>
      </c>
      <c r="H92" t="str">
        <f>IF(LEN(Table2[[#This Row],[Exercise]])&gt;1,Table2[[#This Row],[Detail Script]],$F$3)</f>
        <v>Quads</v>
      </c>
      <c r="I92">
        <f>'Lịch Tập'!P106</f>
        <v>0</v>
      </c>
      <c r="J92">
        <f>'Lịch Tập'!Q106</f>
        <v>0</v>
      </c>
      <c r="L92">
        <f>'Các Bài Tập'!I15</f>
        <v>0</v>
      </c>
      <c r="M92" s="2" t="str">
        <f>'Các Bài Tập'!$I$3</f>
        <v>Triceps</v>
      </c>
      <c r="N92" s="2" t="str">
        <f>'Các Bài Tập'!$I$3</f>
        <v>Triceps</v>
      </c>
    </row>
    <row r="93" spans="2:14" x14ac:dyDescent="0.2">
      <c r="B93" s="2" t="s">
        <v>166</v>
      </c>
      <c r="C93" s="2" t="str">
        <f t="shared" si="2"/>
        <v>Week 3</v>
      </c>
      <c r="D93">
        <f>'Lịch Tập'!M112</f>
        <v>0</v>
      </c>
      <c r="E93" t="str">
        <f>VLOOKUP(Table2[[#This Row],[Exercise]],Table1[],2,FALSE)</f>
        <v>Chest</v>
      </c>
      <c r="F93" t="str">
        <f>VLOOKUP(Table2[[#This Row],[Exercise]],Table1[],3,FALSE)</f>
        <v>Upper Chest</v>
      </c>
      <c r="G93" t="str">
        <f>IF(LEN(Table2[[#This Row],[Exercise]])&gt;1,Table2[[#This Row],[Nhóm cơ Sript]],$E$3)</f>
        <v>Leg</v>
      </c>
      <c r="H93" t="str">
        <f>IF(LEN(Table2[[#This Row],[Exercise]])&gt;1,Table2[[#This Row],[Detail Script]],$F$3)</f>
        <v>Quads</v>
      </c>
      <c r="I93">
        <f>'Lịch Tập'!P112</f>
        <v>0</v>
      </c>
      <c r="J93">
        <f>'Lịch Tập'!Q112</f>
        <v>0</v>
      </c>
      <c r="L93">
        <f>'Các Bài Tập'!I16</f>
        <v>0</v>
      </c>
      <c r="M93" s="2" t="str">
        <f>'Các Bài Tập'!$I$3</f>
        <v>Triceps</v>
      </c>
      <c r="N93" s="2" t="str">
        <f>'Các Bài Tập'!$I$3</f>
        <v>Triceps</v>
      </c>
    </row>
    <row r="94" spans="2:14" x14ac:dyDescent="0.2">
      <c r="B94" s="2" t="s">
        <v>166</v>
      </c>
      <c r="C94" s="2" t="str">
        <f t="shared" si="2"/>
        <v>Week 3</v>
      </c>
      <c r="D94">
        <f>'Lịch Tập'!M118</f>
        <v>0</v>
      </c>
      <c r="E94" t="str">
        <f>VLOOKUP(Table2[[#This Row],[Exercise]],Table1[],2,FALSE)</f>
        <v>Chest</v>
      </c>
      <c r="F94" t="str">
        <f>VLOOKUP(Table2[[#This Row],[Exercise]],Table1[],3,FALSE)</f>
        <v>Upper Chest</v>
      </c>
      <c r="G94" t="str">
        <f>IF(LEN(Table2[[#This Row],[Exercise]])&gt;1,Table2[[#This Row],[Nhóm cơ Sript]],$E$3)</f>
        <v>Leg</v>
      </c>
      <c r="H94" t="str">
        <f>IF(LEN(Table2[[#This Row],[Exercise]])&gt;1,Table2[[#This Row],[Detail Script]],$F$3)</f>
        <v>Quads</v>
      </c>
      <c r="I94">
        <f>'Lịch Tập'!P118</f>
        <v>0</v>
      </c>
      <c r="J94">
        <f>'Lịch Tập'!Q118</f>
        <v>0</v>
      </c>
      <c r="L94" t="str">
        <f>'Các Bài Tập'!J4</f>
        <v>Pull Up</v>
      </c>
      <c r="M94" s="2" t="str">
        <f>'Các Bài Tập'!$J$2</f>
        <v>Back</v>
      </c>
      <c r="N94" s="2" t="str">
        <f>'Các Bài Tập'!$J$3</f>
        <v>Lats</v>
      </c>
    </row>
    <row r="95" spans="2:14" x14ac:dyDescent="0.2">
      <c r="B95" s="2" t="s">
        <v>166</v>
      </c>
      <c r="C95" s="2" t="str">
        <f t="shared" si="2"/>
        <v>Week 3</v>
      </c>
      <c r="D95">
        <f>'Lịch Tập'!M124</f>
        <v>0</v>
      </c>
      <c r="E95" t="str">
        <f>VLOOKUP(Table2[[#This Row],[Exercise]],Table1[],2,FALSE)</f>
        <v>Chest</v>
      </c>
      <c r="F95" t="str">
        <f>VLOOKUP(Table2[[#This Row],[Exercise]],Table1[],3,FALSE)</f>
        <v>Upper Chest</v>
      </c>
      <c r="G95" t="str">
        <f>IF(LEN(Table2[[#This Row],[Exercise]])&gt;1,Table2[[#This Row],[Nhóm cơ Sript]],$E$3)</f>
        <v>Leg</v>
      </c>
      <c r="H95" t="str">
        <f>IF(LEN(Table2[[#This Row],[Exercise]])&gt;1,Table2[[#This Row],[Detail Script]],$F$3)</f>
        <v>Quads</v>
      </c>
      <c r="I95">
        <f>'Lịch Tập'!P124</f>
        <v>0</v>
      </c>
      <c r="J95">
        <f>'Lịch Tập'!Q124</f>
        <v>0</v>
      </c>
      <c r="L95" t="str">
        <f>'Các Bài Tập'!J5</f>
        <v>Lat Pull Down</v>
      </c>
      <c r="M95" s="2" t="str">
        <f>'Các Bài Tập'!$J$2</f>
        <v>Back</v>
      </c>
      <c r="N95" s="2" t="str">
        <f>'Các Bài Tập'!$J$3</f>
        <v>Lats</v>
      </c>
    </row>
    <row r="96" spans="2:14" x14ac:dyDescent="0.2">
      <c r="B96" s="2" t="s">
        <v>166</v>
      </c>
      <c r="C96" s="2" t="str">
        <f t="shared" si="2"/>
        <v>Week 3</v>
      </c>
      <c r="D96">
        <f>'Lịch Tập'!M130</f>
        <v>0</v>
      </c>
      <c r="E96" t="str">
        <f>VLOOKUP(Table2[[#This Row],[Exercise]],Table1[],2,FALSE)</f>
        <v>Chest</v>
      </c>
      <c r="F96" t="str">
        <f>VLOOKUP(Table2[[#This Row],[Exercise]],Table1[],3,FALSE)</f>
        <v>Upper Chest</v>
      </c>
      <c r="G96" t="str">
        <f>IF(LEN(Table2[[#This Row],[Exercise]])&gt;1,Table2[[#This Row],[Nhóm cơ Sript]],$E$3)</f>
        <v>Leg</v>
      </c>
      <c r="H96" t="str">
        <f>IF(LEN(Table2[[#This Row],[Exercise]])&gt;1,Table2[[#This Row],[Detail Script]],$F$3)</f>
        <v>Quads</v>
      </c>
      <c r="I96">
        <f>'Lịch Tập'!P130</f>
        <v>0</v>
      </c>
      <c r="J96">
        <f>'Lịch Tập'!Q130</f>
        <v>0</v>
      </c>
      <c r="L96" t="str">
        <f>'Các Bài Tập'!J6</f>
        <v>BB Row</v>
      </c>
      <c r="M96" s="2" t="str">
        <f>'Các Bài Tập'!$J$2</f>
        <v>Back</v>
      </c>
      <c r="N96" s="2" t="str">
        <f>'Các Bài Tập'!$J$3</f>
        <v>Lats</v>
      </c>
    </row>
    <row r="97" spans="2:14" x14ac:dyDescent="0.2">
      <c r="B97" s="2" t="s">
        <v>166</v>
      </c>
      <c r="C97" s="2" t="str">
        <f t="shared" si="2"/>
        <v>Week 3</v>
      </c>
      <c r="D97">
        <f>'Lịch Tập'!M136</f>
        <v>0</v>
      </c>
      <c r="E97" t="str">
        <f>VLOOKUP(Table2[[#This Row],[Exercise]],Table1[],2,FALSE)</f>
        <v>Chest</v>
      </c>
      <c r="F97" t="str">
        <f>VLOOKUP(Table2[[#This Row],[Exercise]],Table1[],3,FALSE)</f>
        <v>Upper Chest</v>
      </c>
      <c r="G97" t="str">
        <f>IF(LEN(Table2[[#This Row],[Exercise]])&gt;1,Table2[[#This Row],[Nhóm cơ Sript]],$E$3)</f>
        <v>Leg</v>
      </c>
      <c r="H97" t="str">
        <f>IF(LEN(Table2[[#This Row],[Exercise]])&gt;1,Table2[[#This Row],[Detail Script]],$F$3)</f>
        <v>Quads</v>
      </c>
      <c r="I97">
        <f>'Lịch Tập'!P136</f>
        <v>0</v>
      </c>
      <c r="J97">
        <f>'Lịch Tập'!Q136</f>
        <v>0</v>
      </c>
      <c r="L97" t="str">
        <f>'Các Bài Tập'!J7</f>
        <v>DB Row</v>
      </c>
      <c r="M97" s="2" t="str">
        <f>'Các Bài Tập'!$J$2</f>
        <v>Back</v>
      </c>
      <c r="N97" s="2" t="str">
        <f>'Các Bài Tập'!$J$3</f>
        <v>Lats</v>
      </c>
    </row>
    <row r="98" spans="2:14" x14ac:dyDescent="0.2">
      <c r="B98" s="2" t="s">
        <v>166</v>
      </c>
      <c r="C98" s="2" t="str">
        <f t="shared" si="2"/>
        <v>Week 3</v>
      </c>
      <c r="D98">
        <f>'Lịch Tập'!M142</f>
        <v>0</v>
      </c>
      <c r="E98" t="str">
        <f>VLOOKUP(Table2[[#This Row],[Exercise]],Table1[],2,FALSE)</f>
        <v>Chest</v>
      </c>
      <c r="F98" t="str">
        <f>VLOOKUP(Table2[[#This Row],[Exercise]],Table1[],3,FALSE)</f>
        <v>Upper Chest</v>
      </c>
      <c r="G98" t="str">
        <f>IF(LEN(Table2[[#This Row],[Exercise]])&gt;1,Table2[[#This Row],[Nhóm cơ Sript]],$E$3)</f>
        <v>Leg</v>
      </c>
      <c r="H98" t="str">
        <f>IF(LEN(Table2[[#This Row],[Exercise]])&gt;1,Table2[[#This Row],[Detail Script]],$F$3)</f>
        <v>Quads</v>
      </c>
      <c r="I98">
        <f>'Lịch Tập'!P142</f>
        <v>0</v>
      </c>
      <c r="J98">
        <f>'Lịch Tập'!Q142</f>
        <v>0</v>
      </c>
      <c r="L98" t="str">
        <f>'Các Bài Tập'!J8</f>
        <v>Cable Row</v>
      </c>
      <c r="M98" s="2" t="str">
        <f>'Các Bài Tập'!$J$2</f>
        <v>Back</v>
      </c>
      <c r="N98" s="2" t="str">
        <f>'Các Bài Tập'!$J$3</f>
        <v>Lats</v>
      </c>
    </row>
    <row r="99" spans="2:14" x14ac:dyDescent="0.2">
      <c r="B99" s="2" t="s">
        <v>167</v>
      </c>
      <c r="C99" s="2" t="str">
        <f t="shared" si="2"/>
        <v>Week 3</v>
      </c>
      <c r="D99">
        <f>'Lịch Tập'!M148</f>
        <v>0</v>
      </c>
      <c r="E99" t="str">
        <f>VLOOKUP(Table2[[#This Row],[Exercise]],Table1[],2,FALSE)</f>
        <v>Chest</v>
      </c>
      <c r="F99" t="str">
        <f>VLOOKUP(Table2[[#This Row],[Exercise]],Table1[],3,FALSE)</f>
        <v>Upper Chest</v>
      </c>
      <c r="G99" t="str">
        <f>IF(LEN(Table2[[#This Row],[Exercise]])&gt;1,Table2[[#This Row],[Nhóm cơ Sript]],$E$3)</f>
        <v>Leg</v>
      </c>
      <c r="H99" t="str">
        <f>IF(LEN(Table2[[#This Row],[Exercise]])&gt;1,Table2[[#This Row],[Detail Script]],$F$3)</f>
        <v>Quads</v>
      </c>
      <c r="I99">
        <f>'Lịch Tập'!P148</f>
        <v>0</v>
      </c>
      <c r="J99">
        <f>'Lịch Tập'!Q148</f>
        <v>0</v>
      </c>
      <c r="L99" t="str">
        <f>'Các Bài Tập'!J9</f>
        <v>Cable Upright Row</v>
      </c>
      <c r="M99" s="2" t="str">
        <f>'Các Bài Tập'!$J$2</f>
        <v>Back</v>
      </c>
      <c r="N99" s="2" t="str">
        <f>'Các Bài Tập'!$J$3</f>
        <v>Lats</v>
      </c>
    </row>
    <row r="100" spans="2:14" x14ac:dyDescent="0.2">
      <c r="B100" s="2" t="s">
        <v>167</v>
      </c>
      <c r="C100" s="2" t="str">
        <f t="shared" si="2"/>
        <v>Week 3</v>
      </c>
      <c r="D100">
        <f>'Lịch Tập'!M154</f>
        <v>0</v>
      </c>
      <c r="E100" t="str">
        <f>VLOOKUP(Table2[[#This Row],[Exercise]],Table1[],2,FALSE)</f>
        <v>Chest</v>
      </c>
      <c r="F100" t="str">
        <f>VLOOKUP(Table2[[#This Row],[Exercise]],Table1[],3,FALSE)</f>
        <v>Upper Chest</v>
      </c>
      <c r="G100" t="str">
        <f>IF(LEN(Table2[[#This Row],[Exercise]])&gt;1,Table2[[#This Row],[Nhóm cơ Sript]],$E$3)</f>
        <v>Leg</v>
      </c>
      <c r="H100" t="str">
        <f>IF(LEN(Table2[[#This Row],[Exercise]])&gt;1,Table2[[#This Row],[Detail Script]],$F$3)</f>
        <v>Quads</v>
      </c>
      <c r="I100">
        <f>'Lịch Tập'!P154</f>
        <v>0</v>
      </c>
      <c r="J100">
        <f>'Lịch Tập'!Q154</f>
        <v>0</v>
      </c>
      <c r="L100">
        <f>'Các Bài Tập'!J10</f>
        <v>0</v>
      </c>
      <c r="M100" s="2" t="str">
        <f>'Các Bài Tập'!$J$2</f>
        <v>Back</v>
      </c>
      <c r="N100" s="2" t="str">
        <f>'Các Bài Tập'!$J$3</f>
        <v>Lats</v>
      </c>
    </row>
    <row r="101" spans="2:14" x14ac:dyDescent="0.2">
      <c r="B101" s="2" t="s">
        <v>167</v>
      </c>
      <c r="C101" s="2" t="str">
        <f t="shared" si="2"/>
        <v>Week 3</v>
      </c>
      <c r="D101">
        <f>'Lịch Tập'!M160</f>
        <v>0</v>
      </c>
      <c r="E101" t="str">
        <f>VLOOKUP(Table2[[#This Row],[Exercise]],Table1[],2,FALSE)</f>
        <v>Chest</v>
      </c>
      <c r="F101" t="str">
        <f>VLOOKUP(Table2[[#This Row],[Exercise]],Table1[],3,FALSE)</f>
        <v>Upper Chest</v>
      </c>
      <c r="G101" t="str">
        <f>IF(LEN(Table2[[#This Row],[Exercise]])&gt;1,Table2[[#This Row],[Nhóm cơ Sript]],$E$3)</f>
        <v>Leg</v>
      </c>
      <c r="H101" t="str">
        <f>IF(LEN(Table2[[#This Row],[Exercise]])&gt;1,Table2[[#This Row],[Detail Script]],$F$3)</f>
        <v>Quads</v>
      </c>
      <c r="I101">
        <f>'Lịch Tập'!P160</f>
        <v>0</v>
      </c>
      <c r="J101">
        <f>'Lịch Tập'!Q160</f>
        <v>0</v>
      </c>
      <c r="L101">
        <f>'Các Bài Tập'!J11</f>
        <v>0</v>
      </c>
      <c r="M101" s="2" t="str">
        <f>'Các Bài Tập'!$J$2</f>
        <v>Back</v>
      </c>
      <c r="N101" s="2" t="str">
        <f>'Các Bài Tập'!$J$3</f>
        <v>Lats</v>
      </c>
    </row>
    <row r="102" spans="2:14" x14ac:dyDescent="0.2">
      <c r="B102" s="2" t="s">
        <v>167</v>
      </c>
      <c r="C102" s="2" t="str">
        <f t="shared" si="2"/>
        <v>Week 3</v>
      </c>
      <c r="D102">
        <f>'Lịch Tập'!M166</f>
        <v>0</v>
      </c>
      <c r="E102" t="str">
        <f>VLOOKUP(Table2[[#This Row],[Exercise]],Table1[],2,FALSE)</f>
        <v>Chest</v>
      </c>
      <c r="F102" t="str">
        <f>VLOOKUP(Table2[[#This Row],[Exercise]],Table1[],3,FALSE)</f>
        <v>Upper Chest</v>
      </c>
      <c r="G102" t="str">
        <f>IF(LEN(Table2[[#This Row],[Exercise]])&gt;1,Table2[[#This Row],[Nhóm cơ Sript]],$E$3)</f>
        <v>Leg</v>
      </c>
      <c r="H102" t="str">
        <f>IF(LEN(Table2[[#This Row],[Exercise]])&gt;1,Table2[[#This Row],[Detail Script]],$F$3)</f>
        <v>Quads</v>
      </c>
      <c r="I102">
        <f>'Lịch Tập'!P166</f>
        <v>0</v>
      </c>
      <c r="J102">
        <f>'Lịch Tập'!Q166</f>
        <v>0</v>
      </c>
      <c r="L102">
        <f>'Các Bài Tập'!J12</f>
        <v>0</v>
      </c>
      <c r="M102" s="2" t="str">
        <f>'Các Bài Tập'!$J$2</f>
        <v>Back</v>
      </c>
      <c r="N102" s="2" t="str">
        <f>'Các Bài Tập'!$J$3</f>
        <v>Lats</v>
      </c>
    </row>
    <row r="103" spans="2:14" x14ac:dyDescent="0.2">
      <c r="B103" s="2" t="s">
        <v>167</v>
      </c>
      <c r="C103" s="2" t="str">
        <f t="shared" si="2"/>
        <v>Week 3</v>
      </c>
      <c r="D103">
        <f>'Lịch Tập'!M172</f>
        <v>0</v>
      </c>
      <c r="E103" t="str">
        <f>VLOOKUP(Table2[[#This Row],[Exercise]],Table1[],2,FALSE)</f>
        <v>Chest</v>
      </c>
      <c r="F103" t="str">
        <f>VLOOKUP(Table2[[#This Row],[Exercise]],Table1[],3,FALSE)</f>
        <v>Upper Chest</v>
      </c>
      <c r="G103" t="str">
        <f>IF(LEN(Table2[[#This Row],[Exercise]])&gt;1,Table2[[#This Row],[Nhóm cơ Sript]],$E$3)</f>
        <v>Leg</v>
      </c>
      <c r="H103" t="str">
        <f>IF(LEN(Table2[[#This Row],[Exercise]])&gt;1,Table2[[#This Row],[Detail Script]],$F$3)</f>
        <v>Quads</v>
      </c>
      <c r="I103">
        <f>'Lịch Tập'!P172</f>
        <v>0</v>
      </c>
      <c r="J103">
        <f>'Lịch Tập'!Q172</f>
        <v>0</v>
      </c>
      <c r="L103">
        <f>'Các Bài Tập'!J13</f>
        <v>0</v>
      </c>
      <c r="M103" s="2" t="str">
        <f>'Các Bài Tập'!$J$2</f>
        <v>Back</v>
      </c>
      <c r="N103" s="2" t="str">
        <f>'Các Bài Tập'!$J$3</f>
        <v>Lats</v>
      </c>
    </row>
    <row r="104" spans="2:14" x14ac:dyDescent="0.2">
      <c r="B104" s="2" t="s">
        <v>167</v>
      </c>
      <c r="C104" s="2" t="str">
        <f t="shared" si="2"/>
        <v>Week 3</v>
      </c>
      <c r="D104">
        <f>'Lịch Tập'!M178</f>
        <v>0</v>
      </c>
      <c r="E104" t="str">
        <f>VLOOKUP(Table2[[#This Row],[Exercise]],Table1[],2,FALSE)</f>
        <v>Chest</v>
      </c>
      <c r="F104" t="str">
        <f>VLOOKUP(Table2[[#This Row],[Exercise]],Table1[],3,FALSE)</f>
        <v>Upper Chest</v>
      </c>
      <c r="G104" t="str">
        <f>IF(LEN(Table2[[#This Row],[Exercise]])&gt;1,Table2[[#This Row],[Nhóm cơ Sript]],$E$3)</f>
        <v>Leg</v>
      </c>
      <c r="H104" t="str">
        <f>IF(LEN(Table2[[#This Row],[Exercise]])&gt;1,Table2[[#This Row],[Detail Script]],$F$3)</f>
        <v>Quads</v>
      </c>
      <c r="I104">
        <f>'Lịch Tập'!P178</f>
        <v>0</v>
      </c>
      <c r="J104">
        <f>'Lịch Tập'!Q178</f>
        <v>0</v>
      </c>
      <c r="L104">
        <f>'Các Bài Tập'!J14</f>
        <v>0</v>
      </c>
      <c r="M104" s="2" t="str">
        <f>'Các Bài Tập'!$J$2</f>
        <v>Back</v>
      </c>
      <c r="N104" s="2" t="str">
        <f>'Các Bài Tập'!$J$3</f>
        <v>Lats</v>
      </c>
    </row>
    <row r="105" spans="2:14" x14ac:dyDescent="0.2">
      <c r="B105" s="2" t="s">
        <v>168</v>
      </c>
      <c r="C105" s="2" t="str">
        <f t="shared" si="2"/>
        <v>Week 3</v>
      </c>
      <c r="D105">
        <f>'Lịch Tập'!M184</f>
        <v>0</v>
      </c>
      <c r="E105" t="str">
        <f>VLOOKUP(Table2[[#This Row],[Exercise]],Table1[],2,FALSE)</f>
        <v>Chest</v>
      </c>
      <c r="F105" t="str">
        <f>VLOOKUP(Table2[[#This Row],[Exercise]],Table1[],3,FALSE)</f>
        <v>Upper Chest</v>
      </c>
      <c r="G105" t="str">
        <f>IF(LEN(Table2[[#This Row],[Exercise]])&gt;1,Table2[[#This Row],[Nhóm cơ Sript]],$E$3)</f>
        <v>Leg</v>
      </c>
      <c r="H105" t="str">
        <f>IF(LEN(Table2[[#This Row],[Exercise]])&gt;1,Table2[[#This Row],[Detail Script]],$F$3)</f>
        <v>Quads</v>
      </c>
      <c r="I105">
        <f>'Lịch Tập'!P184</f>
        <v>0</v>
      </c>
      <c r="J105">
        <f>'Lịch Tập'!Q184</f>
        <v>0</v>
      </c>
      <c r="L105">
        <f>'Các Bài Tập'!J15</f>
        <v>0</v>
      </c>
      <c r="M105" s="2" t="str">
        <f>'Các Bài Tập'!$J$2</f>
        <v>Back</v>
      </c>
      <c r="N105" s="2" t="str">
        <f>'Các Bài Tập'!$J$3</f>
        <v>Lats</v>
      </c>
    </row>
    <row r="106" spans="2:14" x14ac:dyDescent="0.2">
      <c r="B106" s="2" t="s">
        <v>168</v>
      </c>
      <c r="C106" s="2" t="str">
        <f t="shared" si="2"/>
        <v>Week 3</v>
      </c>
      <c r="D106">
        <f>'Lịch Tập'!M190</f>
        <v>0</v>
      </c>
      <c r="E106" t="str">
        <f>VLOOKUP(Table2[[#This Row],[Exercise]],Table1[],2,FALSE)</f>
        <v>Chest</v>
      </c>
      <c r="F106" t="str">
        <f>VLOOKUP(Table2[[#This Row],[Exercise]],Table1[],3,FALSE)</f>
        <v>Upper Chest</v>
      </c>
      <c r="G106" t="str">
        <f>IF(LEN(Table2[[#This Row],[Exercise]])&gt;1,Table2[[#This Row],[Nhóm cơ Sript]],$E$3)</f>
        <v>Leg</v>
      </c>
      <c r="H106" t="str">
        <f>IF(LEN(Table2[[#This Row],[Exercise]])&gt;1,Table2[[#This Row],[Detail Script]],$F$3)</f>
        <v>Quads</v>
      </c>
      <c r="I106">
        <f>'Lịch Tập'!P190</f>
        <v>0</v>
      </c>
      <c r="J106">
        <f>'Lịch Tập'!Q190</f>
        <v>0</v>
      </c>
      <c r="L106">
        <f>'Các Bài Tập'!J16</f>
        <v>0</v>
      </c>
      <c r="M106" s="2" t="str">
        <f>'Các Bài Tập'!$J$2</f>
        <v>Back</v>
      </c>
      <c r="N106" s="2" t="str">
        <f>'Các Bài Tập'!$J$3</f>
        <v>Lats</v>
      </c>
    </row>
    <row r="107" spans="2:14" x14ac:dyDescent="0.2">
      <c r="B107" s="2" t="s">
        <v>168</v>
      </c>
      <c r="C107" s="2" t="str">
        <f t="shared" si="2"/>
        <v>Week 3</v>
      </c>
      <c r="D107">
        <f>'Lịch Tập'!M196</f>
        <v>0</v>
      </c>
      <c r="E107" t="str">
        <f>VLOOKUP(Table2[[#This Row],[Exercise]],Table1[],2,FALSE)</f>
        <v>Chest</v>
      </c>
      <c r="F107" t="str">
        <f>VLOOKUP(Table2[[#This Row],[Exercise]],Table1[],3,FALSE)</f>
        <v>Upper Chest</v>
      </c>
      <c r="G107" t="str">
        <f>IF(LEN(Table2[[#This Row],[Exercise]])&gt;1,Table2[[#This Row],[Nhóm cơ Sript]],$E$3)</f>
        <v>Leg</v>
      </c>
      <c r="H107" t="str">
        <f>IF(LEN(Table2[[#This Row],[Exercise]])&gt;1,Table2[[#This Row],[Detail Script]],$F$3)</f>
        <v>Quads</v>
      </c>
      <c r="I107">
        <f>'Lịch Tập'!P196</f>
        <v>0</v>
      </c>
      <c r="J107">
        <f>'Lịch Tập'!Q196</f>
        <v>0</v>
      </c>
      <c r="L107" t="str">
        <f>'Các Bài Tập'!K4</f>
        <v>DB Shrug</v>
      </c>
      <c r="M107" s="2" t="str">
        <f>'Các Bài Tập'!$J$2</f>
        <v>Back</v>
      </c>
      <c r="N107" s="2" t="str">
        <f>'Các Bài Tập'!$K$3</f>
        <v>Trap</v>
      </c>
    </row>
    <row r="108" spans="2:14" x14ac:dyDescent="0.2">
      <c r="B108" s="2" t="s">
        <v>168</v>
      </c>
      <c r="C108" s="2" t="str">
        <f t="shared" si="2"/>
        <v>Week 3</v>
      </c>
      <c r="D108">
        <f>'Lịch Tập'!M202</f>
        <v>0</v>
      </c>
      <c r="E108" t="str">
        <f>VLOOKUP(Table2[[#This Row],[Exercise]],Table1[],2,FALSE)</f>
        <v>Chest</v>
      </c>
      <c r="F108" t="str">
        <f>VLOOKUP(Table2[[#This Row],[Exercise]],Table1[],3,FALSE)</f>
        <v>Upper Chest</v>
      </c>
      <c r="G108" t="str">
        <f>IF(LEN(Table2[[#This Row],[Exercise]])&gt;1,Table2[[#This Row],[Nhóm cơ Sript]],$E$3)</f>
        <v>Leg</v>
      </c>
      <c r="H108" t="str">
        <f>IF(LEN(Table2[[#This Row],[Exercise]])&gt;1,Table2[[#This Row],[Detail Script]],$F$3)</f>
        <v>Quads</v>
      </c>
      <c r="I108">
        <f>'Lịch Tập'!P202</f>
        <v>0</v>
      </c>
      <c r="J108">
        <f>'Lịch Tập'!Q202</f>
        <v>0</v>
      </c>
      <c r="L108" t="str">
        <f>'Các Bài Tập'!K5</f>
        <v>BB Shrug</v>
      </c>
      <c r="M108" s="2" t="str">
        <f>'Các Bài Tập'!$J$2</f>
        <v>Back</v>
      </c>
      <c r="N108" s="2" t="str">
        <f>'Các Bài Tập'!$K$3</f>
        <v>Trap</v>
      </c>
    </row>
    <row r="109" spans="2:14" x14ac:dyDescent="0.2">
      <c r="B109" s="2" t="s">
        <v>168</v>
      </c>
      <c r="C109" s="2" t="str">
        <f t="shared" si="2"/>
        <v>Week 3</v>
      </c>
      <c r="D109">
        <f>'Lịch Tập'!M208</f>
        <v>0</v>
      </c>
      <c r="E109" t="str">
        <f>VLOOKUP(Table2[[#This Row],[Exercise]],Table1[],2,FALSE)</f>
        <v>Chest</v>
      </c>
      <c r="F109" t="str">
        <f>VLOOKUP(Table2[[#This Row],[Exercise]],Table1[],3,FALSE)</f>
        <v>Upper Chest</v>
      </c>
      <c r="G109" t="str">
        <f>IF(LEN(Table2[[#This Row],[Exercise]])&gt;1,Table2[[#This Row],[Nhóm cơ Sript]],$E$3)</f>
        <v>Leg</v>
      </c>
      <c r="H109" t="str">
        <f>IF(LEN(Table2[[#This Row],[Exercise]])&gt;1,Table2[[#This Row],[Detail Script]],$F$3)</f>
        <v>Quads</v>
      </c>
      <c r="I109">
        <f>'Lịch Tập'!P208</f>
        <v>0</v>
      </c>
      <c r="J109">
        <f>'Lịch Tập'!Q208</f>
        <v>0</v>
      </c>
      <c r="L109">
        <f>'Các Bài Tập'!K6</f>
        <v>0</v>
      </c>
      <c r="M109" s="2" t="str">
        <f>'Các Bài Tập'!$J$2</f>
        <v>Back</v>
      </c>
      <c r="N109" s="2" t="str">
        <f>'Các Bài Tập'!$K$3</f>
        <v>Trap</v>
      </c>
    </row>
    <row r="110" spans="2:14" x14ac:dyDescent="0.2">
      <c r="B110" s="2" t="s">
        <v>168</v>
      </c>
      <c r="C110" s="2" t="str">
        <f t="shared" si="2"/>
        <v>Week 3</v>
      </c>
      <c r="D110">
        <f>'Lịch Tập'!M214</f>
        <v>0</v>
      </c>
      <c r="E110" t="str">
        <f>VLOOKUP(Table2[[#This Row],[Exercise]],Table1[],2,FALSE)</f>
        <v>Chest</v>
      </c>
      <c r="F110" t="str">
        <f>VLOOKUP(Table2[[#This Row],[Exercise]],Table1[],3,FALSE)</f>
        <v>Upper Chest</v>
      </c>
      <c r="G110" t="str">
        <f>IF(LEN(Table2[[#This Row],[Exercise]])&gt;1,Table2[[#This Row],[Nhóm cơ Sript]],$E$3)</f>
        <v>Leg</v>
      </c>
      <c r="H110" t="str">
        <f>IF(LEN(Table2[[#This Row],[Exercise]])&gt;1,Table2[[#This Row],[Detail Script]],$F$3)</f>
        <v>Quads</v>
      </c>
      <c r="I110">
        <f>'Lịch Tập'!P214</f>
        <v>0</v>
      </c>
      <c r="J110">
        <f>'Lịch Tập'!Q214</f>
        <v>0</v>
      </c>
      <c r="L110">
        <f>'Các Bài Tập'!K7</f>
        <v>0</v>
      </c>
      <c r="M110" s="2" t="str">
        <f>'Các Bài Tập'!$J$2</f>
        <v>Back</v>
      </c>
      <c r="N110" s="2" t="str">
        <f>'Các Bài Tập'!$K$3</f>
        <v>Trap</v>
      </c>
    </row>
    <row r="111" spans="2:14" x14ac:dyDescent="0.2">
      <c r="B111" s="2" t="s">
        <v>163</v>
      </c>
      <c r="C111" s="2" t="s">
        <v>194</v>
      </c>
      <c r="D111">
        <f>'Lịch Tập'!R4</f>
        <v>0</v>
      </c>
      <c r="E111" t="str">
        <f>VLOOKUP(Table2[[#This Row],[Exercise]],Table1[],2,FALSE)</f>
        <v>Chest</v>
      </c>
      <c r="F111" t="str">
        <f>VLOOKUP(Table2[[#This Row],[Exercise]],Table1[],3,FALSE)</f>
        <v>Upper Chest</v>
      </c>
      <c r="G111" t="str">
        <f>IF(LEN(Table2[[#This Row],[Exercise]])&gt;1,Table2[[#This Row],[Nhóm cơ Sript]],$E$3)</f>
        <v>Leg</v>
      </c>
      <c r="H111" t="str">
        <f>IF(LEN(Table2[[#This Row],[Exercise]])&gt;1,Table2[[#This Row],[Detail Script]],$F$3)</f>
        <v>Quads</v>
      </c>
      <c r="I111">
        <f>'Lịch Tập'!U4</f>
        <v>0</v>
      </c>
      <c r="J111">
        <f>'Lịch Tập'!V4</f>
        <v>0</v>
      </c>
      <c r="L111">
        <f>'Các Bài Tập'!K8</f>
        <v>0</v>
      </c>
      <c r="M111" s="2" t="str">
        <f>'Các Bài Tập'!$J$2</f>
        <v>Back</v>
      </c>
      <c r="N111" s="2" t="str">
        <f>'Các Bài Tập'!$K$3</f>
        <v>Trap</v>
      </c>
    </row>
    <row r="112" spans="2:14" x14ac:dyDescent="0.2">
      <c r="B112" s="2" t="s">
        <v>163</v>
      </c>
      <c r="C112" s="2" t="str">
        <f>$C$111</f>
        <v>Week 4</v>
      </c>
      <c r="D112">
        <f>'Lịch Tập'!R10</f>
        <v>0</v>
      </c>
      <c r="E112" t="str">
        <f>VLOOKUP(Table2[[#This Row],[Exercise]],Table1[],2,FALSE)</f>
        <v>Chest</v>
      </c>
      <c r="F112" t="str">
        <f>VLOOKUP(Table2[[#This Row],[Exercise]],Table1[],3,FALSE)</f>
        <v>Upper Chest</v>
      </c>
      <c r="G112" t="str">
        <f>IF(LEN(Table2[[#This Row],[Exercise]])&gt;1,Table2[[#This Row],[Nhóm cơ Sript]],$E$3)</f>
        <v>Leg</v>
      </c>
      <c r="H112" t="str">
        <f>IF(LEN(Table2[[#This Row],[Exercise]])&gt;1,Table2[[#This Row],[Detail Script]],$F$3)</f>
        <v>Quads</v>
      </c>
      <c r="I112">
        <f>'Lịch Tập'!U10</f>
        <v>0</v>
      </c>
      <c r="J112">
        <f>'Lịch Tập'!V10</f>
        <v>0</v>
      </c>
      <c r="L112">
        <f>'Các Bài Tập'!K9</f>
        <v>0</v>
      </c>
      <c r="M112" s="2" t="str">
        <f>'Các Bài Tập'!$J$2</f>
        <v>Back</v>
      </c>
      <c r="N112" s="2" t="str">
        <f>'Các Bài Tập'!$K$3</f>
        <v>Trap</v>
      </c>
    </row>
    <row r="113" spans="2:14" x14ac:dyDescent="0.2">
      <c r="B113" s="2" t="s">
        <v>163</v>
      </c>
      <c r="C113" s="2" t="str">
        <f t="shared" ref="C113:C146" si="3">$C$111</f>
        <v>Week 4</v>
      </c>
      <c r="D113">
        <f>'Lịch Tập'!R16</f>
        <v>0</v>
      </c>
      <c r="E113" t="str">
        <f>VLOOKUP(Table2[[#This Row],[Exercise]],Table1[],2,FALSE)</f>
        <v>Chest</v>
      </c>
      <c r="F113" t="str">
        <f>VLOOKUP(Table2[[#This Row],[Exercise]],Table1[],3,FALSE)</f>
        <v>Upper Chest</v>
      </c>
      <c r="G113" t="str">
        <f>IF(LEN(Table2[[#This Row],[Exercise]])&gt;1,Table2[[#This Row],[Nhóm cơ Sript]],$E$3)</f>
        <v>Leg</v>
      </c>
      <c r="H113" t="str">
        <f>IF(LEN(Table2[[#This Row],[Exercise]])&gt;1,Table2[[#This Row],[Detail Script]],$F$3)</f>
        <v>Quads</v>
      </c>
      <c r="I113">
        <f>'Lịch Tập'!U16</f>
        <v>0</v>
      </c>
      <c r="J113">
        <f>'Lịch Tập'!V16</f>
        <v>0</v>
      </c>
      <c r="L113">
        <f>'Các Bài Tập'!K10</f>
        <v>0</v>
      </c>
      <c r="M113" s="2" t="str">
        <f>'Các Bài Tập'!$J$2</f>
        <v>Back</v>
      </c>
      <c r="N113" s="2" t="str">
        <f>'Các Bài Tập'!$K$3</f>
        <v>Trap</v>
      </c>
    </row>
    <row r="114" spans="2:14" x14ac:dyDescent="0.2">
      <c r="B114" s="2" t="s">
        <v>163</v>
      </c>
      <c r="C114" s="2" t="str">
        <f t="shared" si="3"/>
        <v>Week 4</v>
      </c>
      <c r="D114">
        <f>'Lịch Tập'!R22</f>
        <v>0</v>
      </c>
      <c r="E114" t="str">
        <f>VLOOKUP(Table2[[#This Row],[Exercise]],Table1[],2,FALSE)</f>
        <v>Chest</v>
      </c>
      <c r="F114" t="str">
        <f>VLOOKUP(Table2[[#This Row],[Exercise]],Table1[],3,FALSE)</f>
        <v>Upper Chest</v>
      </c>
      <c r="G114" t="str">
        <f>IF(LEN(Table2[[#This Row],[Exercise]])&gt;1,Table2[[#This Row],[Nhóm cơ Sript]],$E$3)</f>
        <v>Leg</v>
      </c>
      <c r="H114" t="str">
        <f>IF(LEN(Table2[[#This Row],[Exercise]])&gt;1,Table2[[#This Row],[Detail Script]],$F$3)</f>
        <v>Quads</v>
      </c>
      <c r="I114">
        <f>'Lịch Tập'!U22</f>
        <v>0</v>
      </c>
      <c r="J114">
        <f>'Lịch Tập'!V22</f>
        <v>0</v>
      </c>
      <c r="L114">
        <f>'Các Bài Tập'!K11</f>
        <v>0</v>
      </c>
      <c r="M114" s="2" t="str">
        <f>'Các Bài Tập'!$J$2</f>
        <v>Back</v>
      </c>
      <c r="N114" s="2" t="str">
        <f>'Các Bài Tập'!$K$3</f>
        <v>Trap</v>
      </c>
    </row>
    <row r="115" spans="2:14" x14ac:dyDescent="0.2">
      <c r="B115" s="2" t="s">
        <v>163</v>
      </c>
      <c r="C115" s="2" t="str">
        <f t="shared" si="3"/>
        <v>Week 4</v>
      </c>
      <c r="D115">
        <f>'Lịch Tập'!R28</f>
        <v>0</v>
      </c>
      <c r="E115" t="str">
        <f>VLOOKUP(Table2[[#This Row],[Exercise]],Table1[],2,FALSE)</f>
        <v>Chest</v>
      </c>
      <c r="F115" t="str">
        <f>VLOOKUP(Table2[[#This Row],[Exercise]],Table1[],3,FALSE)</f>
        <v>Upper Chest</v>
      </c>
      <c r="G115" t="str">
        <f>IF(LEN(Table2[[#This Row],[Exercise]])&gt;1,Table2[[#This Row],[Nhóm cơ Sript]],$E$3)</f>
        <v>Leg</v>
      </c>
      <c r="H115" t="str">
        <f>IF(LEN(Table2[[#This Row],[Exercise]])&gt;1,Table2[[#This Row],[Detail Script]],$F$3)</f>
        <v>Quads</v>
      </c>
      <c r="I115">
        <f>'Lịch Tập'!U28</f>
        <v>0</v>
      </c>
      <c r="J115">
        <f>'Lịch Tập'!V28</f>
        <v>0</v>
      </c>
      <c r="L115">
        <f>'Các Bài Tập'!K12</f>
        <v>0</v>
      </c>
      <c r="M115" s="2" t="str">
        <f>'Các Bài Tập'!$J$2</f>
        <v>Back</v>
      </c>
      <c r="N115" s="2" t="str">
        <f>'Các Bài Tập'!$K$3</f>
        <v>Trap</v>
      </c>
    </row>
    <row r="116" spans="2:14" x14ac:dyDescent="0.2">
      <c r="B116" s="2" t="s">
        <v>163</v>
      </c>
      <c r="C116" s="2" t="str">
        <f t="shared" si="3"/>
        <v>Week 4</v>
      </c>
      <c r="D116">
        <f>'Lịch Tập'!R34</f>
        <v>0</v>
      </c>
      <c r="E116" t="str">
        <f>VLOOKUP(Table2[[#This Row],[Exercise]],Table1[],2,FALSE)</f>
        <v>Chest</v>
      </c>
      <c r="F116" t="str">
        <f>VLOOKUP(Table2[[#This Row],[Exercise]],Table1[],3,FALSE)</f>
        <v>Upper Chest</v>
      </c>
      <c r="G116" t="str">
        <f>IF(LEN(Table2[[#This Row],[Exercise]])&gt;1,Table2[[#This Row],[Nhóm cơ Sript]],$E$3)</f>
        <v>Leg</v>
      </c>
      <c r="H116" t="str">
        <f>IF(LEN(Table2[[#This Row],[Exercise]])&gt;1,Table2[[#This Row],[Detail Script]],$F$3)</f>
        <v>Quads</v>
      </c>
      <c r="I116">
        <f>'Lịch Tập'!U34</f>
        <v>0</v>
      </c>
      <c r="J116">
        <f>'Lịch Tập'!V34</f>
        <v>0</v>
      </c>
      <c r="L116">
        <f>'Các Bài Tập'!K13</f>
        <v>0</v>
      </c>
      <c r="M116" s="2" t="str">
        <f>'Các Bài Tập'!$J$2</f>
        <v>Back</v>
      </c>
      <c r="N116" s="2" t="str">
        <f>'Các Bài Tập'!$K$3</f>
        <v>Trap</v>
      </c>
    </row>
    <row r="117" spans="2:14" x14ac:dyDescent="0.2">
      <c r="B117" s="2" t="s">
        <v>164</v>
      </c>
      <c r="C117" s="2" t="str">
        <f t="shared" si="3"/>
        <v>Week 4</v>
      </c>
      <c r="D117">
        <f>'Lịch Tập'!R40</f>
        <v>0</v>
      </c>
      <c r="E117" t="str">
        <f>VLOOKUP(Table2[[#This Row],[Exercise]],Table1[],2,FALSE)</f>
        <v>Chest</v>
      </c>
      <c r="F117" t="str">
        <f>VLOOKUP(Table2[[#This Row],[Exercise]],Table1[],3,FALSE)</f>
        <v>Upper Chest</v>
      </c>
      <c r="G117" t="str">
        <f>IF(LEN(Table2[[#This Row],[Exercise]])&gt;1,Table2[[#This Row],[Nhóm cơ Sript]],$E$3)</f>
        <v>Leg</v>
      </c>
      <c r="H117" t="str">
        <f>IF(LEN(Table2[[#This Row],[Exercise]])&gt;1,Table2[[#This Row],[Detail Script]],$F$3)</f>
        <v>Quads</v>
      </c>
      <c r="I117">
        <f>'Lịch Tập'!U40</f>
        <v>0</v>
      </c>
      <c r="J117">
        <f>'Lịch Tập'!V40</f>
        <v>0</v>
      </c>
      <c r="L117">
        <f>'Các Bài Tập'!K14</f>
        <v>0</v>
      </c>
      <c r="M117" s="2" t="str">
        <f>'Các Bài Tập'!$J$2</f>
        <v>Back</v>
      </c>
      <c r="N117" s="2" t="str">
        <f>'Các Bài Tập'!$K$3</f>
        <v>Trap</v>
      </c>
    </row>
    <row r="118" spans="2:14" x14ac:dyDescent="0.2">
      <c r="B118" s="2" t="s">
        <v>164</v>
      </c>
      <c r="C118" s="2" t="str">
        <f t="shared" si="3"/>
        <v>Week 4</v>
      </c>
      <c r="D118">
        <f>'Lịch Tập'!R46</f>
        <v>0</v>
      </c>
      <c r="E118" t="str">
        <f>VLOOKUP(Table2[[#This Row],[Exercise]],Table1[],2,FALSE)</f>
        <v>Chest</v>
      </c>
      <c r="F118" t="str">
        <f>VLOOKUP(Table2[[#This Row],[Exercise]],Table1[],3,FALSE)</f>
        <v>Upper Chest</v>
      </c>
      <c r="G118" t="str">
        <f>IF(LEN(Table2[[#This Row],[Exercise]])&gt;1,Table2[[#This Row],[Nhóm cơ Sript]],$E$3)</f>
        <v>Leg</v>
      </c>
      <c r="H118" t="str">
        <f>IF(LEN(Table2[[#This Row],[Exercise]])&gt;1,Table2[[#This Row],[Detail Script]],$F$3)</f>
        <v>Quads</v>
      </c>
      <c r="I118">
        <f>'Lịch Tập'!U46</f>
        <v>0</v>
      </c>
      <c r="J118">
        <f>'Lịch Tập'!V46</f>
        <v>0</v>
      </c>
      <c r="L118">
        <f>'Các Bài Tập'!K15</f>
        <v>0</v>
      </c>
      <c r="M118" s="2" t="str">
        <f>'Các Bài Tập'!$J$2</f>
        <v>Back</v>
      </c>
      <c r="N118" s="2" t="str">
        <f>'Các Bài Tập'!$K$3</f>
        <v>Trap</v>
      </c>
    </row>
    <row r="119" spans="2:14" x14ac:dyDescent="0.2">
      <c r="B119" s="2" t="s">
        <v>164</v>
      </c>
      <c r="C119" s="2" t="str">
        <f t="shared" si="3"/>
        <v>Week 4</v>
      </c>
      <c r="D119">
        <f>'Lịch Tập'!R52</f>
        <v>0</v>
      </c>
      <c r="E119" t="str">
        <f>VLOOKUP(Table2[[#This Row],[Exercise]],Table1[],2,FALSE)</f>
        <v>Chest</v>
      </c>
      <c r="F119" t="str">
        <f>VLOOKUP(Table2[[#This Row],[Exercise]],Table1[],3,FALSE)</f>
        <v>Upper Chest</v>
      </c>
      <c r="G119" t="str">
        <f>IF(LEN(Table2[[#This Row],[Exercise]])&gt;1,Table2[[#This Row],[Nhóm cơ Sript]],$E$3)</f>
        <v>Leg</v>
      </c>
      <c r="H119" t="str">
        <f>IF(LEN(Table2[[#This Row],[Exercise]])&gt;1,Table2[[#This Row],[Detail Script]],$F$3)</f>
        <v>Quads</v>
      </c>
      <c r="I119">
        <f>'Lịch Tập'!U52</f>
        <v>0</v>
      </c>
      <c r="J119">
        <f>'Lịch Tập'!V52</f>
        <v>0</v>
      </c>
      <c r="L119">
        <f>'Các Bài Tập'!K16</f>
        <v>0</v>
      </c>
      <c r="M119" s="2" t="str">
        <f>'Các Bài Tập'!$J$2</f>
        <v>Back</v>
      </c>
      <c r="N119" s="2" t="str">
        <f>'Các Bài Tập'!$K$3</f>
        <v>Trap</v>
      </c>
    </row>
    <row r="120" spans="2:14" x14ac:dyDescent="0.2">
      <c r="B120" s="2" t="s">
        <v>164</v>
      </c>
      <c r="C120" s="2" t="str">
        <f t="shared" si="3"/>
        <v>Week 4</v>
      </c>
      <c r="D120">
        <f>'Lịch Tập'!R58</f>
        <v>0</v>
      </c>
      <c r="E120" t="str">
        <f>VLOOKUP(Table2[[#This Row],[Exercise]],Table1[],2,FALSE)</f>
        <v>Chest</v>
      </c>
      <c r="F120" t="str">
        <f>VLOOKUP(Table2[[#This Row],[Exercise]],Table1[],3,FALSE)</f>
        <v>Upper Chest</v>
      </c>
      <c r="G120" t="str">
        <f>IF(LEN(Table2[[#This Row],[Exercise]])&gt;1,Table2[[#This Row],[Nhóm cơ Sript]],$E$3)</f>
        <v>Leg</v>
      </c>
      <c r="H120" t="str">
        <f>IF(LEN(Table2[[#This Row],[Exercise]])&gt;1,Table2[[#This Row],[Detail Script]],$F$3)</f>
        <v>Quads</v>
      </c>
      <c r="I120">
        <f>'Lịch Tập'!U58</f>
        <v>0</v>
      </c>
      <c r="J120">
        <f>'Lịch Tập'!V58</f>
        <v>0</v>
      </c>
      <c r="L120" t="str">
        <f>'Các Bài Tập'!L4</f>
        <v>BB Curl</v>
      </c>
      <c r="M120" s="2" t="str">
        <f>'Các Bài Tập'!$L$3</f>
        <v>Biceps</v>
      </c>
      <c r="N120" s="2" t="str">
        <f>'Các Bài Tập'!$L$3</f>
        <v>Biceps</v>
      </c>
    </row>
    <row r="121" spans="2:14" x14ac:dyDescent="0.2">
      <c r="B121" s="2" t="s">
        <v>164</v>
      </c>
      <c r="C121" s="2" t="str">
        <f t="shared" si="3"/>
        <v>Week 4</v>
      </c>
      <c r="D121">
        <f>'Lịch Tập'!R64</f>
        <v>0</v>
      </c>
      <c r="E121" t="str">
        <f>VLOOKUP(Table2[[#This Row],[Exercise]],Table1[],2,FALSE)</f>
        <v>Chest</v>
      </c>
      <c r="F121" t="str">
        <f>VLOOKUP(Table2[[#This Row],[Exercise]],Table1[],3,FALSE)</f>
        <v>Upper Chest</v>
      </c>
      <c r="G121" t="str">
        <f>IF(LEN(Table2[[#This Row],[Exercise]])&gt;1,Table2[[#This Row],[Nhóm cơ Sript]],$E$3)</f>
        <v>Leg</v>
      </c>
      <c r="H121" t="str">
        <f>IF(LEN(Table2[[#This Row],[Exercise]])&gt;1,Table2[[#This Row],[Detail Script]],$F$3)</f>
        <v>Quads</v>
      </c>
      <c r="I121">
        <f>'Lịch Tập'!U64</f>
        <v>0</v>
      </c>
      <c r="J121">
        <f>'Lịch Tập'!V64</f>
        <v>0</v>
      </c>
      <c r="L121" t="str">
        <f>'Các Bài Tập'!L5</f>
        <v>DB Curl</v>
      </c>
      <c r="M121" s="2" t="str">
        <f>'Các Bài Tập'!$L$3</f>
        <v>Biceps</v>
      </c>
      <c r="N121" s="2" t="str">
        <f>'Các Bài Tập'!$L$3</f>
        <v>Biceps</v>
      </c>
    </row>
    <row r="122" spans="2:14" x14ac:dyDescent="0.2">
      <c r="B122" s="2" t="s">
        <v>164</v>
      </c>
      <c r="C122" s="2" t="str">
        <f t="shared" si="3"/>
        <v>Week 4</v>
      </c>
      <c r="D122">
        <f>'Lịch Tập'!R70</f>
        <v>0</v>
      </c>
      <c r="E122" t="str">
        <f>VLOOKUP(Table2[[#This Row],[Exercise]],Table1[],2,FALSE)</f>
        <v>Chest</v>
      </c>
      <c r="F122" t="str">
        <f>VLOOKUP(Table2[[#This Row],[Exercise]],Table1[],3,FALSE)</f>
        <v>Upper Chest</v>
      </c>
      <c r="G122" t="str">
        <f>IF(LEN(Table2[[#This Row],[Exercise]])&gt;1,Table2[[#This Row],[Nhóm cơ Sript]],$E$3)</f>
        <v>Leg</v>
      </c>
      <c r="H122" t="str">
        <f>IF(LEN(Table2[[#This Row],[Exercise]])&gt;1,Table2[[#This Row],[Detail Script]],$F$3)</f>
        <v>Quads</v>
      </c>
      <c r="I122">
        <f>'Lịch Tập'!U70</f>
        <v>0</v>
      </c>
      <c r="J122">
        <f>'Lịch Tập'!V70</f>
        <v>0</v>
      </c>
      <c r="L122" t="str">
        <f>'Các Bài Tập'!L6</f>
        <v>EZ Bar Curl</v>
      </c>
      <c r="M122" s="2" t="str">
        <f>'Các Bài Tập'!$L$3</f>
        <v>Biceps</v>
      </c>
      <c r="N122" s="2" t="str">
        <f>'Các Bài Tập'!$L$3</f>
        <v>Biceps</v>
      </c>
    </row>
    <row r="123" spans="2:14" x14ac:dyDescent="0.2">
      <c r="B123" s="2" t="s">
        <v>165</v>
      </c>
      <c r="C123" s="2" t="str">
        <f t="shared" si="3"/>
        <v>Week 4</v>
      </c>
      <c r="D123">
        <f>'Lịch Tập'!R76</f>
        <v>0</v>
      </c>
      <c r="E123" t="str">
        <f>VLOOKUP(Table2[[#This Row],[Exercise]],Table1[],2,FALSE)</f>
        <v>Chest</v>
      </c>
      <c r="F123" t="str">
        <f>VLOOKUP(Table2[[#This Row],[Exercise]],Table1[],3,FALSE)</f>
        <v>Upper Chest</v>
      </c>
      <c r="G123" t="str">
        <f>IF(LEN(Table2[[#This Row],[Exercise]])&gt;1,Table2[[#This Row],[Nhóm cơ Sript]],$E$3)</f>
        <v>Leg</v>
      </c>
      <c r="H123" t="str">
        <f>IF(LEN(Table2[[#This Row],[Exercise]])&gt;1,Table2[[#This Row],[Detail Script]],$F$3)</f>
        <v>Quads</v>
      </c>
      <c r="I123">
        <f>'Lịch Tập'!U76</f>
        <v>0</v>
      </c>
      <c r="J123">
        <f>'Lịch Tập'!V76</f>
        <v>0</v>
      </c>
      <c r="L123" t="str">
        <f>'Các Bài Tập'!L7</f>
        <v>Chin up</v>
      </c>
      <c r="M123" s="2" t="str">
        <f>'Các Bài Tập'!$L$3</f>
        <v>Biceps</v>
      </c>
      <c r="N123" s="2" t="str">
        <f>'Các Bài Tập'!$L$3</f>
        <v>Biceps</v>
      </c>
    </row>
    <row r="124" spans="2:14" x14ac:dyDescent="0.2">
      <c r="B124" s="2" t="s">
        <v>165</v>
      </c>
      <c r="C124" s="2" t="str">
        <f t="shared" si="3"/>
        <v>Week 4</v>
      </c>
      <c r="D124">
        <f>'Lịch Tập'!R82</f>
        <v>0</v>
      </c>
      <c r="E124" t="str">
        <f>VLOOKUP(Table2[[#This Row],[Exercise]],Table1[],2,FALSE)</f>
        <v>Chest</v>
      </c>
      <c r="F124" t="str">
        <f>VLOOKUP(Table2[[#This Row],[Exercise]],Table1[],3,FALSE)</f>
        <v>Upper Chest</v>
      </c>
      <c r="G124" t="str">
        <f>IF(LEN(Table2[[#This Row],[Exercise]])&gt;1,Table2[[#This Row],[Nhóm cơ Sript]],$E$3)</f>
        <v>Leg</v>
      </c>
      <c r="H124" t="str">
        <f>IF(LEN(Table2[[#This Row],[Exercise]])&gt;1,Table2[[#This Row],[Detail Script]],$F$3)</f>
        <v>Quads</v>
      </c>
      <c r="I124">
        <f>'Lịch Tập'!U82</f>
        <v>0</v>
      </c>
      <c r="J124">
        <f>'Lịch Tập'!V82</f>
        <v>0</v>
      </c>
      <c r="L124" t="str">
        <f>'Các Bài Tập'!L8</f>
        <v>Hammer Curl</v>
      </c>
      <c r="M124" s="2" t="str">
        <f>'Các Bài Tập'!$L$3</f>
        <v>Biceps</v>
      </c>
      <c r="N124" s="2" t="str">
        <f>'Các Bài Tập'!$L$3</f>
        <v>Biceps</v>
      </c>
    </row>
    <row r="125" spans="2:14" x14ac:dyDescent="0.2">
      <c r="B125" s="2" t="s">
        <v>165</v>
      </c>
      <c r="C125" s="2" t="str">
        <f t="shared" si="3"/>
        <v>Week 4</v>
      </c>
      <c r="D125">
        <f>'Lịch Tập'!R88</f>
        <v>0</v>
      </c>
      <c r="E125" t="str">
        <f>VLOOKUP(Table2[[#This Row],[Exercise]],Table1[],2,FALSE)</f>
        <v>Chest</v>
      </c>
      <c r="F125" t="str">
        <f>VLOOKUP(Table2[[#This Row],[Exercise]],Table1[],3,FALSE)</f>
        <v>Upper Chest</v>
      </c>
      <c r="G125" t="str">
        <f>IF(LEN(Table2[[#This Row],[Exercise]])&gt;1,Table2[[#This Row],[Nhóm cơ Sript]],$E$3)</f>
        <v>Leg</v>
      </c>
      <c r="H125" t="str">
        <f>IF(LEN(Table2[[#This Row],[Exercise]])&gt;1,Table2[[#This Row],[Detail Script]],$F$3)</f>
        <v>Quads</v>
      </c>
      <c r="I125">
        <f>'Lịch Tập'!U88</f>
        <v>0</v>
      </c>
      <c r="J125">
        <f>'Lịch Tập'!V88</f>
        <v>0</v>
      </c>
      <c r="L125">
        <f>'Các Bài Tập'!L9</f>
        <v>0</v>
      </c>
      <c r="M125" s="2" t="str">
        <f>'Các Bài Tập'!$L$3</f>
        <v>Biceps</v>
      </c>
      <c r="N125" s="2" t="str">
        <f>'Các Bài Tập'!$L$3</f>
        <v>Biceps</v>
      </c>
    </row>
    <row r="126" spans="2:14" x14ac:dyDescent="0.2">
      <c r="B126" s="2" t="s">
        <v>165</v>
      </c>
      <c r="C126" s="2" t="str">
        <f t="shared" si="3"/>
        <v>Week 4</v>
      </c>
      <c r="D126">
        <f>'Lịch Tập'!R94</f>
        <v>0</v>
      </c>
      <c r="E126" t="str">
        <f>VLOOKUP(Table2[[#This Row],[Exercise]],Table1[],2,FALSE)</f>
        <v>Chest</v>
      </c>
      <c r="F126" t="str">
        <f>VLOOKUP(Table2[[#This Row],[Exercise]],Table1[],3,FALSE)</f>
        <v>Upper Chest</v>
      </c>
      <c r="G126" t="str">
        <f>IF(LEN(Table2[[#This Row],[Exercise]])&gt;1,Table2[[#This Row],[Nhóm cơ Sript]],$E$3)</f>
        <v>Leg</v>
      </c>
      <c r="H126" t="str">
        <f>IF(LEN(Table2[[#This Row],[Exercise]])&gt;1,Table2[[#This Row],[Detail Script]],$F$3)</f>
        <v>Quads</v>
      </c>
      <c r="I126">
        <f>'Lịch Tập'!U94</f>
        <v>0</v>
      </c>
      <c r="J126">
        <f>'Lịch Tập'!V94</f>
        <v>0</v>
      </c>
      <c r="L126">
        <f>'Các Bài Tập'!L10</f>
        <v>0</v>
      </c>
      <c r="M126" s="2" t="str">
        <f>'Các Bài Tập'!$L$3</f>
        <v>Biceps</v>
      </c>
      <c r="N126" s="2" t="str">
        <f>'Các Bài Tập'!$L$3</f>
        <v>Biceps</v>
      </c>
    </row>
    <row r="127" spans="2:14" x14ac:dyDescent="0.2">
      <c r="B127" s="2" t="s">
        <v>165</v>
      </c>
      <c r="C127" s="2" t="str">
        <f t="shared" si="3"/>
        <v>Week 4</v>
      </c>
      <c r="D127">
        <f>'Lịch Tập'!R100</f>
        <v>0</v>
      </c>
      <c r="E127" t="str">
        <f>VLOOKUP(Table2[[#This Row],[Exercise]],Table1[],2,FALSE)</f>
        <v>Chest</v>
      </c>
      <c r="F127" t="str">
        <f>VLOOKUP(Table2[[#This Row],[Exercise]],Table1[],3,FALSE)</f>
        <v>Upper Chest</v>
      </c>
      <c r="G127" t="str">
        <f>IF(LEN(Table2[[#This Row],[Exercise]])&gt;1,Table2[[#This Row],[Nhóm cơ Sript]],$E$3)</f>
        <v>Leg</v>
      </c>
      <c r="H127" t="str">
        <f>IF(LEN(Table2[[#This Row],[Exercise]])&gt;1,Table2[[#This Row],[Detail Script]],$F$3)</f>
        <v>Quads</v>
      </c>
      <c r="I127">
        <f>'Lịch Tập'!U100</f>
        <v>0</v>
      </c>
      <c r="J127">
        <f>'Lịch Tập'!V100</f>
        <v>0</v>
      </c>
      <c r="L127">
        <f>'Các Bài Tập'!L11</f>
        <v>0</v>
      </c>
      <c r="M127" s="2" t="str">
        <f>'Các Bài Tập'!$L$3</f>
        <v>Biceps</v>
      </c>
      <c r="N127" s="2" t="str">
        <f>'Các Bài Tập'!$L$3</f>
        <v>Biceps</v>
      </c>
    </row>
    <row r="128" spans="2:14" x14ac:dyDescent="0.2">
      <c r="B128" s="2" t="s">
        <v>165</v>
      </c>
      <c r="C128" s="2" t="str">
        <f t="shared" si="3"/>
        <v>Week 4</v>
      </c>
      <c r="D128">
        <f>'Lịch Tập'!R106</f>
        <v>0</v>
      </c>
      <c r="E128" t="str">
        <f>VLOOKUP(Table2[[#This Row],[Exercise]],Table1[],2,FALSE)</f>
        <v>Chest</v>
      </c>
      <c r="F128" t="str">
        <f>VLOOKUP(Table2[[#This Row],[Exercise]],Table1[],3,FALSE)</f>
        <v>Upper Chest</v>
      </c>
      <c r="G128" t="str">
        <f>IF(LEN(Table2[[#This Row],[Exercise]])&gt;1,Table2[[#This Row],[Nhóm cơ Sript]],$E$3)</f>
        <v>Leg</v>
      </c>
      <c r="H128" t="str">
        <f>IF(LEN(Table2[[#This Row],[Exercise]])&gt;1,Table2[[#This Row],[Detail Script]],$F$3)</f>
        <v>Quads</v>
      </c>
      <c r="I128">
        <f>'Lịch Tập'!U106</f>
        <v>0</v>
      </c>
      <c r="J128">
        <f>'Lịch Tập'!V106</f>
        <v>0</v>
      </c>
      <c r="L128">
        <f>'Các Bài Tập'!L12</f>
        <v>0</v>
      </c>
      <c r="M128" s="2" t="str">
        <f>'Các Bài Tập'!$L$3</f>
        <v>Biceps</v>
      </c>
      <c r="N128" s="2" t="str">
        <f>'Các Bài Tập'!$L$3</f>
        <v>Biceps</v>
      </c>
    </row>
    <row r="129" spans="2:14" x14ac:dyDescent="0.2">
      <c r="B129" s="2" t="s">
        <v>166</v>
      </c>
      <c r="C129" s="2" t="str">
        <f t="shared" si="3"/>
        <v>Week 4</v>
      </c>
      <c r="D129">
        <f>'Lịch Tập'!R112</f>
        <v>0</v>
      </c>
      <c r="E129" t="str">
        <f>VLOOKUP(Table2[[#This Row],[Exercise]],Table1[],2,FALSE)</f>
        <v>Chest</v>
      </c>
      <c r="F129" t="str">
        <f>VLOOKUP(Table2[[#This Row],[Exercise]],Table1[],3,FALSE)</f>
        <v>Upper Chest</v>
      </c>
      <c r="G129" t="str">
        <f>IF(LEN(Table2[[#This Row],[Exercise]])&gt;1,Table2[[#This Row],[Nhóm cơ Sript]],$E$3)</f>
        <v>Leg</v>
      </c>
      <c r="H129" t="str">
        <f>IF(LEN(Table2[[#This Row],[Exercise]])&gt;1,Table2[[#This Row],[Detail Script]],$F$3)</f>
        <v>Quads</v>
      </c>
      <c r="I129">
        <f>'Lịch Tập'!U112</f>
        <v>0</v>
      </c>
      <c r="J129">
        <f>'Lịch Tập'!V112</f>
        <v>0</v>
      </c>
      <c r="L129">
        <f>'Các Bài Tập'!L13</f>
        <v>0</v>
      </c>
      <c r="M129" s="2" t="str">
        <f>'Các Bài Tập'!$L$3</f>
        <v>Biceps</v>
      </c>
      <c r="N129" s="2" t="str">
        <f>'Các Bài Tập'!$L$3</f>
        <v>Biceps</v>
      </c>
    </row>
    <row r="130" spans="2:14" x14ac:dyDescent="0.2">
      <c r="B130" s="2" t="s">
        <v>166</v>
      </c>
      <c r="C130" s="2" t="str">
        <f t="shared" si="3"/>
        <v>Week 4</v>
      </c>
      <c r="D130">
        <f>'Lịch Tập'!R118</f>
        <v>0</v>
      </c>
      <c r="E130" t="str">
        <f>VLOOKUP(Table2[[#This Row],[Exercise]],Table1[],2,FALSE)</f>
        <v>Chest</v>
      </c>
      <c r="F130" t="str">
        <f>VLOOKUP(Table2[[#This Row],[Exercise]],Table1[],3,FALSE)</f>
        <v>Upper Chest</v>
      </c>
      <c r="G130" t="str">
        <f>IF(LEN(Table2[[#This Row],[Exercise]])&gt;1,Table2[[#This Row],[Nhóm cơ Sript]],$E$3)</f>
        <v>Leg</v>
      </c>
      <c r="H130" t="str">
        <f>IF(LEN(Table2[[#This Row],[Exercise]])&gt;1,Table2[[#This Row],[Detail Script]],$F$3)</f>
        <v>Quads</v>
      </c>
      <c r="I130">
        <f>'Lịch Tập'!U118</f>
        <v>0</v>
      </c>
      <c r="J130">
        <f>'Lịch Tập'!V118</f>
        <v>0</v>
      </c>
      <c r="L130">
        <f>'Các Bài Tập'!L14</f>
        <v>0</v>
      </c>
      <c r="M130" s="2" t="str">
        <f>'Các Bài Tập'!$L$3</f>
        <v>Biceps</v>
      </c>
      <c r="N130" s="2" t="str">
        <f>'Các Bài Tập'!$L$3</f>
        <v>Biceps</v>
      </c>
    </row>
    <row r="131" spans="2:14" x14ac:dyDescent="0.2">
      <c r="B131" s="2" t="s">
        <v>166</v>
      </c>
      <c r="C131" s="2" t="str">
        <f t="shared" si="3"/>
        <v>Week 4</v>
      </c>
      <c r="D131">
        <f>'Lịch Tập'!R124</f>
        <v>0</v>
      </c>
      <c r="E131" t="str">
        <f>VLOOKUP(Table2[[#This Row],[Exercise]],Table1[],2,FALSE)</f>
        <v>Chest</v>
      </c>
      <c r="F131" t="str">
        <f>VLOOKUP(Table2[[#This Row],[Exercise]],Table1[],3,FALSE)</f>
        <v>Upper Chest</v>
      </c>
      <c r="G131" t="str">
        <f>IF(LEN(Table2[[#This Row],[Exercise]])&gt;1,Table2[[#This Row],[Nhóm cơ Sript]],$E$3)</f>
        <v>Leg</v>
      </c>
      <c r="H131" t="str">
        <f>IF(LEN(Table2[[#This Row],[Exercise]])&gt;1,Table2[[#This Row],[Detail Script]],$F$3)</f>
        <v>Quads</v>
      </c>
      <c r="I131">
        <f>'Lịch Tập'!U124</f>
        <v>0</v>
      </c>
      <c r="J131">
        <f>'Lịch Tập'!V124</f>
        <v>0</v>
      </c>
      <c r="L131">
        <f>'Các Bài Tập'!L15</f>
        <v>0</v>
      </c>
      <c r="M131" s="2" t="str">
        <f>'Các Bài Tập'!$L$3</f>
        <v>Biceps</v>
      </c>
      <c r="N131" s="2" t="str">
        <f>'Các Bài Tập'!$L$3</f>
        <v>Biceps</v>
      </c>
    </row>
    <row r="132" spans="2:14" x14ac:dyDescent="0.2">
      <c r="B132" s="2" t="s">
        <v>166</v>
      </c>
      <c r="C132" s="2" t="str">
        <f t="shared" si="3"/>
        <v>Week 4</v>
      </c>
      <c r="D132">
        <f>'Lịch Tập'!R130</f>
        <v>0</v>
      </c>
      <c r="E132" t="str">
        <f>VLOOKUP(Table2[[#This Row],[Exercise]],Table1[],2,FALSE)</f>
        <v>Chest</v>
      </c>
      <c r="F132" t="str">
        <f>VLOOKUP(Table2[[#This Row],[Exercise]],Table1[],3,FALSE)</f>
        <v>Upper Chest</v>
      </c>
      <c r="G132" t="str">
        <f>IF(LEN(Table2[[#This Row],[Exercise]])&gt;1,Table2[[#This Row],[Nhóm cơ Sript]],$E$3)</f>
        <v>Leg</v>
      </c>
      <c r="H132" t="str">
        <f>IF(LEN(Table2[[#This Row],[Exercise]])&gt;1,Table2[[#This Row],[Detail Script]],$F$3)</f>
        <v>Quads</v>
      </c>
      <c r="I132">
        <f>'Lịch Tập'!U130</f>
        <v>0</v>
      </c>
      <c r="J132">
        <f>'Lịch Tập'!V130</f>
        <v>0</v>
      </c>
      <c r="L132">
        <f>'Các Bài Tập'!L16</f>
        <v>0</v>
      </c>
      <c r="M132" s="2" t="str">
        <f>'Các Bài Tập'!$L$3</f>
        <v>Biceps</v>
      </c>
      <c r="N132" s="2" t="str">
        <f>'Các Bài Tập'!$L$3</f>
        <v>Biceps</v>
      </c>
    </row>
    <row r="133" spans="2:14" x14ac:dyDescent="0.2">
      <c r="B133" s="2" t="s">
        <v>166</v>
      </c>
      <c r="C133" s="2" t="str">
        <f t="shared" si="3"/>
        <v>Week 4</v>
      </c>
      <c r="D133">
        <f>'Lịch Tập'!R136</f>
        <v>0</v>
      </c>
      <c r="E133" t="str">
        <f>VLOOKUP(Table2[[#This Row],[Exercise]],Table1[],2,FALSE)</f>
        <v>Chest</v>
      </c>
      <c r="F133" t="str">
        <f>VLOOKUP(Table2[[#This Row],[Exercise]],Table1[],3,FALSE)</f>
        <v>Upper Chest</v>
      </c>
      <c r="G133" t="str">
        <f>IF(LEN(Table2[[#This Row],[Exercise]])&gt;1,Table2[[#This Row],[Nhóm cơ Sript]],$E$3)</f>
        <v>Leg</v>
      </c>
      <c r="H133" t="str">
        <f>IF(LEN(Table2[[#This Row],[Exercise]])&gt;1,Table2[[#This Row],[Detail Script]],$F$3)</f>
        <v>Quads</v>
      </c>
      <c r="I133">
        <f>'Lịch Tập'!U136</f>
        <v>0</v>
      </c>
      <c r="J133">
        <f>'Lịch Tập'!V136</f>
        <v>0</v>
      </c>
      <c r="L133" t="str">
        <f>'Các Bài Tập'!M4</f>
        <v>Squats</v>
      </c>
      <c r="M133" s="2" t="str">
        <f>'Các Bài Tập'!$M$2</f>
        <v>Leg</v>
      </c>
      <c r="N133" s="2" t="str">
        <f>'Các Bài Tập'!$M$3</f>
        <v>Quads</v>
      </c>
    </row>
    <row r="134" spans="2:14" x14ac:dyDescent="0.2">
      <c r="B134" s="2" t="s">
        <v>166</v>
      </c>
      <c r="C134" s="2" t="str">
        <f t="shared" si="3"/>
        <v>Week 4</v>
      </c>
      <c r="D134">
        <f>'Lịch Tập'!R142</f>
        <v>0</v>
      </c>
      <c r="E134" t="str">
        <f>VLOOKUP(Table2[[#This Row],[Exercise]],Table1[],2,FALSE)</f>
        <v>Chest</v>
      </c>
      <c r="F134" t="str">
        <f>VLOOKUP(Table2[[#This Row],[Exercise]],Table1[],3,FALSE)</f>
        <v>Upper Chest</v>
      </c>
      <c r="G134" t="str">
        <f>IF(LEN(Table2[[#This Row],[Exercise]])&gt;1,Table2[[#This Row],[Nhóm cơ Sript]],$E$3)</f>
        <v>Leg</v>
      </c>
      <c r="H134" t="str">
        <f>IF(LEN(Table2[[#This Row],[Exercise]])&gt;1,Table2[[#This Row],[Detail Script]],$F$3)</f>
        <v>Quads</v>
      </c>
      <c r="I134">
        <f>'Lịch Tập'!U142</f>
        <v>0</v>
      </c>
      <c r="J134">
        <f>'Lịch Tập'!V142</f>
        <v>0</v>
      </c>
      <c r="L134" t="str">
        <f>'Các Bài Tập'!M5</f>
        <v>Leg Press</v>
      </c>
      <c r="M134" s="2" t="str">
        <f>'Các Bài Tập'!$M$2</f>
        <v>Leg</v>
      </c>
      <c r="N134" s="2" t="str">
        <f>'Các Bài Tập'!$M$3</f>
        <v>Quads</v>
      </c>
    </row>
    <row r="135" spans="2:14" x14ac:dyDescent="0.2">
      <c r="B135" s="2" t="s">
        <v>167</v>
      </c>
      <c r="C135" s="2" t="str">
        <f t="shared" si="3"/>
        <v>Week 4</v>
      </c>
      <c r="D135">
        <f>'Lịch Tập'!R148</f>
        <v>0</v>
      </c>
      <c r="E135" t="str">
        <f>VLOOKUP(Table2[[#This Row],[Exercise]],Table1[],2,FALSE)</f>
        <v>Chest</v>
      </c>
      <c r="F135" t="str">
        <f>VLOOKUP(Table2[[#This Row],[Exercise]],Table1[],3,FALSE)</f>
        <v>Upper Chest</v>
      </c>
      <c r="G135" t="str">
        <f>IF(LEN(Table2[[#This Row],[Exercise]])&gt;1,Table2[[#This Row],[Nhóm cơ Sript]],$E$3)</f>
        <v>Leg</v>
      </c>
      <c r="H135" t="str">
        <f>IF(LEN(Table2[[#This Row],[Exercise]])&gt;1,Table2[[#This Row],[Detail Script]],$F$3)</f>
        <v>Quads</v>
      </c>
      <c r="I135">
        <f>'Lịch Tập'!U148</f>
        <v>0</v>
      </c>
      <c r="J135">
        <f>'Lịch Tập'!V148</f>
        <v>0</v>
      </c>
      <c r="L135" t="str">
        <f>'Các Bài Tập'!M6</f>
        <v>Leg Extension</v>
      </c>
      <c r="M135" s="2" t="str">
        <f>'Các Bài Tập'!$M$2</f>
        <v>Leg</v>
      </c>
      <c r="N135" s="2" t="str">
        <f>'Các Bài Tập'!$M$3</f>
        <v>Quads</v>
      </c>
    </row>
    <row r="136" spans="2:14" x14ac:dyDescent="0.2">
      <c r="B136" s="2" t="s">
        <v>167</v>
      </c>
      <c r="C136" s="2" t="str">
        <f t="shared" si="3"/>
        <v>Week 4</v>
      </c>
      <c r="D136">
        <f>'Lịch Tập'!R154</f>
        <v>0</v>
      </c>
      <c r="E136" t="str">
        <f>VLOOKUP(Table2[[#This Row],[Exercise]],Table1[],2,FALSE)</f>
        <v>Chest</v>
      </c>
      <c r="F136" t="str">
        <f>VLOOKUP(Table2[[#This Row],[Exercise]],Table1[],3,FALSE)</f>
        <v>Upper Chest</v>
      </c>
      <c r="G136" t="str">
        <f>IF(LEN(Table2[[#This Row],[Exercise]])&gt;1,Table2[[#This Row],[Nhóm cơ Sript]],$E$3)</f>
        <v>Leg</v>
      </c>
      <c r="H136" t="str">
        <f>IF(LEN(Table2[[#This Row],[Exercise]])&gt;1,Table2[[#This Row],[Detail Script]],$F$3)</f>
        <v>Quads</v>
      </c>
      <c r="I136">
        <f>'Lịch Tập'!U154</f>
        <v>0</v>
      </c>
      <c r="J136">
        <f>'Lịch Tập'!V154</f>
        <v>0</v>
      </c>
      <c r="L136" t="str">
        <f>'Các Bài Tập'!M7</f>
        <v>Bulgarian Squat</v>
      </c>
      <c r="M136" s="2" t="str">
        <f>'Các Bài Tập'!$M$2</f>
        <v>Leg</v>
      </c>
      <c r="N136" s="2" t="str">
        <f>'Các Bài Tập'!$M$3</f>
        <v>Quads</v>
      </c>
    </row>
    <row r="137" spans="2:14" x14ac:dyDescent="0.2">
      <c r="B137" s="2" t="s">
        <v>167</v>
      </c>
      <c r="C137" s="2" t="str">
        <f t="shared" si="3"/>
        <v>Week 4</v>
      </c>
      <c r="D137">
        <f>'Lịch Tập'!R160</f>
        <v>0</v>
      </c>
      <c r="E137" t="str">
        <f>VLOOKUP(Table2[[#This Row],[Exercise]],Table1[],2,FALSE)</f>
        <v>Chest</v>
      </c>
      <c r="F137" t="str">
        <f>VLOOKUP(Table2[[#This Row],[Exercise]],Table1[],3,FALSE)</f>
        <v>Upper Chest</v>
      </c>
      <c r="G137" t="str">
        <f>IF(LEN(Table2[[#This Row],[Exercise]])&gt;1,Table2[[#This Row],[Nhóm cơ Sript]],$E$3)</f>
        <v>Leg</v>
      </c>
      <c r="H137" t="str">
        <f>IF(LEN(Table2[[#This Row],[Exercise]])&gt;1,Table2[[#This Row],[Detail Script]],$F$3)</f>
        <v>Quads</v>
      </c>
      <c r="I137">
        <f>'Lịch Tập'!U160</f>
        <v>0</v>
      </c>
      <c r="J137">
        <f>'Lịch Tập'!V160</f>
        <v>0</v>
      </c>
      <c r="L137" t="str">
        <f>'Các Bài Tập'!M8</f>
        <v>Lunges</v>
      </c>
      <c r="M137" s="2" t="str">
        <f>'Các Bài Tập'!$M$2</f>
        <v>Leg</v>
      </c>
      <c r="N137" s="2" t="str">
        <f>'Các Bài Tập'!$M$3</f>
        <v>Quads</v>
      </c>
    </row>
    <row r="138" spans="2:14" x14ac:dyDescent="0.2">
      <c r="B138" s="2" t="s">
        <v>167</v>
      </c>
      <c r="C138" s="2" t="str">
        <f t="shared" si="3"/>
        <v>Week 4</v>
      </c>
      <c r="D138">
        <f>'Lịch Tập'!R166</f>
        <v>0</v>
      </c>
      <c r="E138" t="str">
        <f>VLOOKUP(Table2[[#This Row],[Exercise]],Table1[],2,FALSE)</f>
        <v>Chest</v>
      </c>
      <c r="F138" t="str">
        <f>VLOOKUP(Table2[[#This Row],[Exercise]],Table1[],3,FALSE)</f>
        <v>Upper Chest</v>
      </c>
      <c r="G138" t="str">
        <f>IF(LEN(Table2[[#This Row],[Exercise]])&gt;1,Table2[[#This Row],[Nhóm cơ Sript]],$E$3)</f>
        <v>Leg</v>
      </c>
      <c r="H138" t="str">
        <f>IF(LEN(Table2[[#This Row],[Exercise]])&gt;1,Table2[[#This Row],[Detail Script]],$F$3)</f>
        <v>Quads</v>
      </c>
      <c r="I138">
        <f>'Lịch Tập'!U166</f>
        <v>0</v>
      </c>
      <c r="J138">
        <f>'Lịch Tập'!V166</f>
        <v>0</v>
      </c>
      <c r="L138">
        <f>'Các Bài Tập'!M9</f>
        <v>0</v>
      </c>
      <c r="M138" s="2" t="str">
        <f>'Các Bài Tập'!$M$2</f>
        <v>Leg</v>
      </c>
      <c r="N138" s="2" t="str">
        <f>'Các Bài Tập'!$M$3</f>
        <v>Quads</v>
      </c>
    </row>
    <row r="139" spans="2:14" x14ac:dyDescent="0.2">
      <c r="B139" s="2" t="s">
        <v>167</v>
      </c>
      <c r="C139" s="2" t="str">
        <f t="shared" si="3"/>
        <v>Week 4</v>
      </c>
      <c r="D139">
        <f>'Lịch Tập'!R172</f>
        <v>0</v>
      </c>
      <c r="E139" t="str">
        <f>VLOOKUP(Table2[[#This Row],[Exercise]],Table1[],2,FALSE)</f>
        <v>Chest</v>
      </c>
      <c r="F139" t="str">
        <f>VLOOKUP(Table2[[#This Row],[Exercise]],Table1[],3,FALSE)</f>
        <v>Upper Chest</v>
      </c>
      <c r="G139" t="str">
        <f>IF(LEN(Table2[[#This Row],[Exercise]])&gt;1,Table2[[#This Row],[Nhóm cơ Sript]],$E$3)</f>
        <v>Leg</v>
      </c>
      <c r="H139" t="str">
        <f>IF(LEN(Table2[[#This Row],[Exercise]])&gt;1,Table2[[#This Row],[Detail Script]],$F$3)</f>
        <v>Quads</v>
      </c>
      <c r="I139">
        <f>'Lịch Tập'!U172</f>
        <v>0</v>
      </c>
      <c r="J139">
        <f>'Lịch Tập'!V172</f>
        <v>0</v>
      </c>
      <c r="L139">
        <f>'Các Bài Tập'!M10</f>
        <v>0</v>
      </c>
      <c r="M139" s="2" t="str">
        <f>'Các Bài Tập'!$M$2</f>
        <v>Leg</v>
      </c>
      <c r="N139" s="2" t="str">
        <f>'Các Bài Tập'!$M$3</f>
        <v>Quads</v>
      </c>
    </row>
    <row r="140" spans="2:14" x14ac:dyDescent="0.2">
      <c r="B140" s="2" t="s">
        <v>167</v>
      </c>
      <c r="C140" s="2" t="str">
        <f t="shared" si="3"/>
        <v>Week 4</v>
      </c>
      <c r="D140">
        <f>'Lịch Tập'!R178</f>
        <v>0</v>
      </c>
      <c r="E140" t="str">
        <f>VLOOKUP(Table2[[#This Row],[Exercise]],Table1[],2,FALSE)</f>
        <v>Chest</v>
      </c>
      <c r="F140" t="str">
        <f>VLOOKUP(Table2[[#This Row],[Exercise]],Table1[],3,FALSE)</f>
        <v>Upper Chest</v>
      </c>
      <c r="G140" t="str">
        <f>IF(LEN(Table2[[#This Row],[Exercise]])&gt;1,Table2[[#This Row],[Nhóm cơ Sript]],$E$3)</f>
        <v>Leg</v>
      </c>
      <c r="H140" t="str">
        <f>IF(LEN(Table2[[#This Row],[Exercise]])&gt;1,Table2[[#This Row],[Detail Script]],$F$3)</f>
        <v>Quads</v>
      </c>
      <c r="I140">
        <f>'Lịch Tập'!U178</f>
        <v>0</v>
      </c>
      <c r="J140">
        <f>'Lịch Tập'!V178</f>
        <v>0</v>
      </c>
      <c r="L140">
        <f>'Các Bài Tập'!M11</f>
        <v>0</v>
      </c>
      <c r="M140" s="2" t="str">
        <f>'Các Bài Tập'!$M$2</f>
        <v>Leg</v>
      </c>
      <c r="N140" s="2" t="str">
        <f>'Các Bài Tập'!$M$3</f>
        <v>Quads</v>
      </c>
    </row>
    <row r="141" spans="2:14" x14ac:dyDescent="0.2">
      <c r="B141" s="2" t="s">
        <v>168</v>
      </c>
      <c r="C141" s="2" t="str">
        <f t="shared" si="3"/>
        <v>Week 4</v>
      </c>
      <c r="D141">
        <f>'Lịch Tập'!R184</f>
        <v>0</v>
      </c>
      <c r="E141" t="str">
        <f>VLOOKUP(Table2[[#This Row],[Exercise]],Table1[],2,FALSE)</f>
        <v>Chest</v>
      </c>
      <c r="F141" t="str">
        <f>VLOOKUP(Table2[[#This Row],[Exercise]],Table1[],3,FALSE)</f>
        <v>Upper Chest</v>
      </c>
      <c r="G141" t="str">
        <f>IF(LEN(Table2[[#This Row],[Exercise]])&gt;1,Table2[[#This Row],[Nhóm cơ Sript]],$E$3)</f>
        <v>Leg</v>
      </c>
      <c r="H141" t="str">
        <f>IF(LEN(Table2[[#This Row],[Exercise]])&gt;1,Table2[[#This Row],[Detail Script]],$F$3)</f>
        <v>Quads</v>
      </c>
      <c r="I141">
        <f>'Lịch Tập'!U184</f>
        <v>0</v>
      </c>
      <c r="J141">
        <f>'Lịch Tập'!V184</f>
        <v>0</v>
      </c>
      <c r="L141">
        <f>'Các Bài Tập'!M12</f>
        <v>0</v>
      </c>
      <c r="M141" s="2" t="str">
        <f>'Các Bài Tập'!$M$2</f>
        <v>Leg</v>
      </c>
      <c r="N141" s="2" t="str">
        <f>'Các Bài Tập'!$M$3</f>
        <v>Quads</v>
      </c>
    </row>
    <row r="142" spans="2:14" x14ac:dyDescent="0.2">
      <c r="B142" s="2" t="s">
        <v>168</v>
      </c>
      <c r="C142" s="2" t="str">
        <f t="shared" si="3"/>
        <v>Week 4</v>
      </c>
      <c r="D142">
        <f>'Lịch Tập'!R190</f>
        <v>0</v>
      </c>
      <c r="E142" t="str">
        <f>VLOOKUP(Table2[[#This Row],[Exercise]],Table1[],2,FALSE)</f>
        <v>Chest</v>
      </c>
      <c r="F142" t="str">
        <f>VLOOKUP(Table2[[#This Row],[Exercise]],Table1[],3,FALSE)</f>
        <v>Upper Chest</v>
      </c>
      <c r="G142" t="str">
        <f>IF(LEN(Table2[[#This Row],[Exercise]])&gt;1,Table2[[#This Row],[Nhóm cơ Sript]],$E$3)</f>
        <v>Leg</v>
      </c>
      <c r="H142" t="str">
        <f>IF(LEN(Table2[[#This Row],[Exercise]])&gt;1,Table2[[#This Row],[Detail Script]],$F$3)</f>
        <v>Quads</v>
      </c>
      <c r="I142">
        <f>'Lịch Tập'!U190</f>
        <v>0</v>
      </c>
      <c r="J142">
        <f>'Lịch Tập'!V190</f>
        <v>0</v>
      </c>
      <c r="L142">
        <f>'Các Bài Tập'!M13</f>
        <v>0</v>
      </c>
      <c r="M142" s="2" t="str">
        <f>'Các Bài Tập'!$M$2</f>
        <v>Leg</v>
      </c>
      <c r="N142" s="2" t="str">
        <f>'Các Bài Tập'!$M$3</f>
        <v>Quads</v>
      </c>
    </row>
    <row r="143" spans="2:14" x14ac:dyDescent="0.2">
      <c r="B143" s="2" t="s">
        <v>168</v>
      </c>
      <c r="C143" s="2" t="str">
        <f t="shared" si="3"/>
        <v>Week 4</v>
      </c>
      <c r="D143">
        <f>'Lịch Tập'!R196</f>
        <v>0</v>
      </c>
      <c r="E143" t="str">
        <f>VLOOKUP(Table2[[#This Row],[Exercise]],Table1[],2,FALSE)</f>
        <v>Chest</v>
      </c>
      <c r="F143" t="str">
        <f>VLOOKUP(Table2[[#This Row],[Exercise]],Table1[],3,FALSE)</f>
        <v>Upper Chest</v>
      </c>
      <c r="G143" t="str">
        <f>IF(LEN(Table2[[#This Row],[Exercise]])&gt;1,Table2[[#This Row],[Nhóm cơ Sript]],$E$3)</f>
        <v>Leg</v>
      </c>
      <c r="H143" t="str">
        <f>IF(LEN(Table2[[#This Row],[Exercise]])&gt;1,Table2[[#This Row],[Detail Script]],$F$3)</f>
        <v>Quads</v>
      </c>
      <c r="I143">
        <f>'Lịch Tập'!U196</f>
        <v>0</v>
      </c>
      <c r="J143">
        <f>'Lịch Tập'!V196</f>
        <v>0</v>
      </c>
      <c r="L143">
        <f>'Các Bài Tập'!M14</f>
        <v>0</v>
      </c>
      <c r="M143" s="2" t="str">
        <f>'Các Bài Tập'!$M$2</f>
        <v>Leg</v>
      </c>
      <c r="N143" s="2" t="str">
        <f>'Các Bài Tập'!$M$3</f>
        <v>Quads</v>
      </c>
    </row>
    <row r="144" spans="2:14" x14ac:dyDescent="0.2">
      <c r="B144" s="2" t="s">
        <v>168</v>
      </c>
      <c r="C144" s="2" t="str">
        <f t="shared" si="3"/>
        <v>Week 4</v>
      </c>
      <c r="D144">
        <f>'Lịch Tập'!R202</f>
        <v>0</v>
      </c>
      <c r="E144" t="str">
        <f>VLOOKUP(Table2[[#This Row],[Exercise]],Table1[],2,FALSE)</f>
        <v>Chest</v>
      </c>
      <c r="F144" t="str">
        <f>VLOOKUP(Table2[[#This Row],[Exercise]],Table1[],3,FALSE)</f>
        <v>Upper Chest</v>
      </c>
      <c r="G144" t="str">
        <f>IF(LEN(Table2[[#This Row],[Exercise]])&gt;1,Table2[[#This Row],[Nhóm cơ Sript]],$E$3)</f>
        <v>Leg</v>
      </c>
      <c r="H144" t="str">
        <f>IF(LEN(Table2[[#This Row],[Exercise]])&gt;1,Table2[[#This Row],[Detail Script]],$F$3)</f>
        <v>Quads</v>
      </c>
      <c r="I144">
        <f>'Lịch Tập'!U202</f>
        <v>0</v>
      </c>
      <c r="J144">
        <f>'Lịch Tập'!V202</f>
        <v>0</v>
      </c>
      <c r="L144">
        <f>'Các Bài Tập'!M15</f>
        <v>0</v>
      </c>
      <c r="M144" s="2" t="str">
        <f>'Các Bài Tập'!$M$2</f>
        <v>Leg</v>
      </c>
      <c r="N144" s="2" t="str">
        <f>'Các Bài Tập'!$M$3</f>
        <v>Quads</v>
      </c>
    </row>
    <row r="145" spans="2:14" x14ac:dyDescent="0.2">
      <c r="B145" s="2" t="s">
        <v>168</v>
      </c>
      <c r="C145" s="2" t="str">
        <f t="shared" si="3"/>
        <v>Week 4</v>
      </c>
      <c r="D145">
        <f>'Lịch Tập'!R208</f>
        <v>0</v>
      </c>
      <c r="E145" t="str">
        <f>VLOOKUP(Table2[[#This Row],[Exercise]],Table1[],2,FALSE)</f>
        <v>Chest</v>
      </c>
      <c r="F145" t="str">
        <f>VLOOKUP(Table2[[#This Row],[Exercise]],Table1[],3,FALSE)</f>
        <v>Upper Chest</v>
      </c>
      <c r="G145" t="str">
        <f>IF(LEN(Table2[[#This Row],[Exercise]])&gt;1,Table2[[#This Row],[Nhóm cơ Sript]],$E$3)</f>
        <v>Leg</v>
      </c>
      <c r="H145" t="str">
        <f>IF(LEN(Table2[[#This Row],[Exercise]])&gt;1,Table2[[#This Row],[Detail Script]],$F$3)</f>
        <v>Quads</v>
      </c>
      <c r="I145">
        <f>'Lịch Tập'!U208</f>
        <v>0</v>
      </c>
      <c r="J145">
        <f>'Lịch Tập'!V208</f>
        <v>0</v>
      </c>
      <c r="L145">
        <f>'Các Bài Tập'!M16</f>
        <v>0</v>
      </c>
      <c r="M145" s="2" t="str">
        <f>'Các Bài Tập'!$M$2</f>
        <v>Leg</v>
      </c>
      <c r="N145" s="2" t="str">
        <f>'Các Bài Tập'!$M$3</f>
        <v>Quads</v>
      </c>
    </row>
    <row r="146" spans="2:14" x14ac:dyDescent="0.2">
      <c r="B146" s="2" t="s">
        <v>168</v>
      </c>
      <c r="C146" s="2" t="str">
        <f t="shared" si="3"/>
        <v>Week 4</v>
      </c>
      <c r="D146">
        <f>'Lịch Tập'!R214</f>
        <v>0</v>
      </c>
      <c r="E146" t="str">
        <f>VLOOKUP(Table2[[#This Row],[Exercise]],Table1[],2,FALSE)</f>
        <v>Chest</v>
      </c>
      <c r="F146" t="str">
        <f>VLOOKUP(Table2[[#This Row],[Exercise]],Table1[],3,FALSE)</f>
        <v>Upper Chest</v>
      </c>
      <c r="G146" t="str">
        <f>IF(LEN(Table2[[#This Row],[Exercise]])&gt;1,Table2[[#This Row],[Nhóm cơ Sript]],$E$3)</f>
        <v>Leg</v>
      </c>
      <c r="H146" t="str">
        <f>IF(LEN(Table2[[#This Row],[Exercise]])&gt;1,Table2[[#This Row],[Detail Script]],$F$3)</f>
        <v>Quads</v>
      </c>
      <c r="I146">
        <f>'Lịch Tập'!U214</f>
        <v>0</v>
      </c>
      <c r="J146">
        <f>'Lịch Tập'!V214</f>
        <v>0</v>
      </c>
      <c r="L146" t="str">
        <f>'Các Bài Tập'!N4</f>
        <v>Conventional Deadlift</v>
      </c>
      <c r="M146" s="2" t="str">
        <f>'Các Bài Tập'!$M$2</f>
        <v>Leg</v>
      </c>
      <c r="N146" s="2" t="str">
        <f>'Các Bài Tập'!$N$3</f>
        <v>Hamstring</v>
      </c>
    </row>
    <row r="147" spans="2:14" x14ac:dyDescent="0.2">
      <c r="L147" t="str">
        <f>'Các Bài Tập'!N5</f>
        <v>Romanian Deadlift</v>
      </c>
      <c r="M147" s="2" t="str">
        <f>'Các Bài Tập'!$M$2</f>
        <v>Leg</v>
      </c>
      <c r="N147" s="2" t="str">
        <f>'Các Bài Tập'!$N$3</f>
        <v>Hamstring</v>
      </c>
    </row>
    <row r="148" spans="2:14" x14ac:dyDescent="0.2">
      <c r="L148" t="str">
        <f>'Các Bài Tập'!N6</f>
        <v>Lying Leg Curl</v>
      </c>
      <c r="M148" s="2" t="str">
        <f>'Các Bài Tập'!$M$2</f>
        <v>Leg</v>
      </c>
      <c r="N148" s="2" t="str">
        <f>'Các Bài Tập'!$N$3</f>
        <v>Hamstring</v>
      </c>
    </row>
    <row r="149" spans="2:14" x14ac:dyDescent="0.2">
      <c r="L149">
        <f>'Các Bài Tập'!N7</f>
        <v>0</v>
      </c>
      <c r="M149" s="2" t="str">
        <f>'Các Bài Tập'!$M$2</f>
        <v>Leg</v>
      </c>
      <c r="N149" s="2" t="str">
        <f>'Các Bài Tập'!$N$3</f>
        <v>Hamstring</v>
      </c>
    </row>
    <row r="150" spans="2:14" x14ac:dyDescent="0.2">
      <c r="L150">
        <f>'Các Bài Tập'!N8</f>
        <v>0</v>
      </c>
      <c r="M150" s="2" t="str">
        <f>'Các Bài Tập'!$M$2</f>
        <v>Leg</v>
      </c>
      <c r="N150" s="2" t="str">
        <f>'Các Bài Tập'!$N$3</f>
        <v>Hamstring</v>
      </c>
    </row>
    <row r="151" spans="2:14" x14ac:dyDescent="0.2">
      <c r="L151">
        <f>'Các Bài Tập'!N9</f>
        <v>0</v>
      </c>
      <c r="M151" s="2" t="str">
        <f>'Các Bài Tập'!$M$2</f>
        <v>Leg</v>
      </c>
      <c r="N151" s="2" t="str">
        <f>'Các Bài Tập'!$N$3</f>
        <v>Hamstring</v>
      </c>
    </row>
    <row r="152" spans="2:14" x14ac:dyDescent="0.2">
      <c r="L152">
        <f>'Các Bài Tập'!N10</f>
        <v>0</v>
      </c>
      <c r="M152" s="2" t="str">
        <f>'Các Bài Tập'!$M$2</f>
        <v>Leg</v>
      </c>
      <c r="N152" s="2" t="str">
        <f>'Các Bài Tập'!$N$3</f>
        <v>Hamstring</v>
      </c>
    </row>
    <row r="153" spans="2:14" x14ac:dyDescent="0.2">
      <c r="L153">
        <f>'Các Bài Tập'!N11</f>
        <v>0</v>
      </c>
      <c r="M153" s="2" t="str">
        <f>'Các Bài Tập'!$M$2</f>
        <v>Leg</v>
      </c>
      <c r="N153" s="2" t="str">
        <f>'Các Bài Tập'!$N$3</f>
        <v>Hamstring</v>
      </c>
    </row>
    <row r="154" spans="2:14" x14ac:dyDescent="0.2">
      <c r="L154">
        <f>'Các Bài Tập'!N12</f>
        <v>0</v>
      </c>
      <c r="M154" s="2" t="str">
        <f>'Các Bài Tập'!$M$2</f>
        <v>Leg</v>
      </c>
      <c r="N154" s="2" t="str">
        <f>'Các Bài Tập'!$N$3</f>
        <v>Hamstring</v>
      </c>
    </row>
    <row r="155" spans="2:14" x14ac:dyDescent="0.2">
      <c r="L155">
        <f>'Các Bài Tập'!N13</f>
        <v>0</v>
      </c>
      <c r="M155" s="2" t="str">
        <f>'Các Bài Tập'!$M$2</f>
        <v>Leg</v>
      </c>
      <c r="N155" s="2" t="str">
        <f>'Các Bài Tập'!$N$3</f>
        <v>Hamstring</v>
      </c>
    </row>
    <row r="156" spans="2:14" x14ac:dyDescent="0.2">
      <c r="L156">
        <f>'Các Bài Tập'!N14</f>
        <v>0</v>
      </c>
      <c r="M156" s="2" t="str">
        <f>'Các Bài Tập'!$M$2</f>
        <v>Leg</v>
      </c>
      <c r="N156" s="2" t="str">
        <f>'Các Bài Tập'!$N$3</f>
        <v>Hamstring</v>
      </c>
    </row>
    <row r="157" spans="2:14" x14ac:dyDescent="0.2">
      <c r="L157">
        <f>'Các Bài Tập'!N15</f>
        <v>0</v>
      </c>
      <c r="M157" s="2" t="str">
        <f>'Các Bài Tập'!$M$2</f>
        <v>Leg</v>
      </c>
      <c r="N157" s="2" t="str">
        <f>'Các Bài Tập'!$N$3</f>
        <v>Hamstring</v>
      </c>
    </row>
    <row r="158" spans="2:14" x14ac:dyDescent="0.2">
      <c r="L158">
        <f>'Các Bài Tập'!N16</f>
        <v>0</v>
      </c>
      <c r="M158" s="2" t="str">
        <f>'Các Bài Tập'!$M$2</f>
        <v>Leg</v>
      </c>
      <c r="N158" s="2" t="str">
        <f>'Các Bài Tập'!$N$3</f>
        <v>Hamstring</v>
      </c>
    </row>
    <row r="159" spans="2:14" x14ac:dyDescent="0.2">
      <c r="L159" t="str">
        <f>'Các Bài Tập'!O4</f>
        <v>Hip Thrust</v>
      </c>
      <c r="M159" s="2" t="str">
        <f>'Các Bài Tập'!$M$2</f>
        <v>Leg</v>
      </c>
      <c r="N159" s="2" t="str">
        <f>'Các Bài Tập'!$O$3</f>
        <v>Glutes</v>
      </c>
    </row>
    <row r="160" spans="2:14" x14ac:dyDescent="0.2">
      <c r="L160">
        <f>'Các Bài Tập'!O5</f>
        <v>0</v>
      </c>
      <c r="M160" s="2" t="str">
        <f>'Các Bài Tập'!$M$2</f>
        <v>Leg</v>
      </c>
      <c r="N160" s="2" t="str">
        <f>'Các Bài Tập'!$O$3</f>
        <v>Glutes</v>
      </c>
    </row>
    <row r="161" spans="12:14" x14ac:dyDescent="0.2">
      <c r="L161">
        <f>'Các Bài Tập'!O6</f>
        <v>0</v>
      </c>
      <c r="M161" s="2" t="str">
        <f>'Các Bài Tập'!$M$2</f>
        <v>Leg</v>
      </c>
      <c r="N161" s="2" t="str">
        <f>'Các Bài Tập'!$O$3</f>
        <v>Glutes</v>
      </c>
    </row>
    <row r="162" spans="12:14" x14ac:dyDescent="0.2">
      <c r="L162">
        <f>'Các Bài Tập'!O7</f>
        <v>0</v>
      </c>
      <c r="M162" s="2" t="str">
        <f>'Các Bài Tập'!$M$2</f>
        <v>Leg</v>
      </c>
      <c r="N162" s="2" t="str">
        <f>'Các Bài Tập'!$O$3</f>
        <v>Glutes</v>
      </c>
    </row>
    <row r="163" spans="12:14" x14ac:dyDescent="0.2">
      <c r="L163">
        <f>'Các Bài Tập'!O8</f>
        <v>0</v>
      </c>
      <c r="M163" s="2" t="str">
        <f>'Các Bài Tập'!$M$2</f>
        <v>Leg</v>
      </c>
      <c r="N163" s="2" t="str">
        <f>'Các Bài Tập'!$O$3</f>
        <v>Glutes</v>
      </c>
    </row>
    <row r="164" spans="12:14" x14ac:dyDescent="0.2">
      <c r="L164">
        <f>'Các Bài Tập'!O9</f>
        <v>0</v>
      </c>
      <c r="M164" s="2" t="str">
        <f>'Các Bài Tập'!$M$2</f>
        <v>Leg</v>
      </c>
      <c r="N164" s="2" t="str">
        <f>'Các Bài Tập'!$O$3</f>
        <v>Glutes</v>
      </c>
    </row>
    <row r="165" spans="12:14" x14ac:dyDescent="0.2">
      <c r="L165">
        <f>'Các Bài Tập'!O10</f>
        <v>0</v>
      </c>
      <c r="M165" s="2" t="str">
        <f>'Các Bài Tập'!$M$2</f>
        <v>Leg</v>
      </c>
      <c r="N165" s="2" t="str">
        <f>'Các Bài Tập'!$O$3</f>
        <v>Glutes</v>
      </c>
    </row>
    <row r="166" spans="12:14" x14ac:dyDescent="0.2">
      <c r="L166">
        <f>'Các Bài Tập'!O11</f>
        <v>0</v>
      </c>
      <c r="M166" s="2" t="str">
        <f>'Các Bài Tập'!$M$2</f>
        <v>Leg</v>
      </c>
      <c r="N166" s="2" t="str">
        <f>'Các Bài Tập'!$O$3</f>
        <v>Glutes</v>
      </c>
    </row>
    <row r="167" spans="12:14" x14ac:dyDescent="0.2">
      <c r="L167">
        <f>'Các Bài Tập'!O12</f>
        <v>0</v>
      </c>
      <c r="M167" s="2" t="str">
        <f>'Các Bài Tập'!$M$2</f>
        <v>Leg</v>
      </c>
      <c r="N167" s="2" t="str">
        <f>'Các Bài Tập'!$O$3</f>
        <v>Glutes</v>
      </c>
    </row>
    <row r="168" spans="12:14" x14ac:dyDescent="0.2">
      <c r="L168">
        <f>'Các Bài Tập'!O13</f>
        <v>0</v>
      </c>
      <c r="M168" s="2" t="str">
        <f>'Các Bài Tập'!$M$2</f>
        <v>Leg</v>
      </c>
      <c r="N168" s="2" t="str">
        <f>'Các Bài Tập'!$O$3</f>
        <v>Glutes</v>
      </c>
    </row>
    <row r="169" spans="12:14" x14ac:dyDescent="0.2">
      <c r="L169">
        <f>'Các Bài Tập'!O14</f>
        <v>0</v>
      </c>
      <c r="M169" s="2" t="str">
        <f>'Các Bài Tập'!$M$2</f>
        <v>Leg</v>
      </c>
      <c r="N169" s="2" t="str">
        <f>'Các Bài Tập'!$O$3</f>
        <v>Glutes</v>
      </c>
    </row>
    <row r="170" spans="12:14" x14ac:dyDescent="0.2">
      <c r="L170">
        <f>'Các Bài Tập'!O15</f>
        <v>0</v>
      </c>
      <c r="M170" s="2" t="str">
        <f>'Các Bài Tập'!$M$2</f>
        <v>Leg</v>
      </c>
      <c r="N170" s="2" t="str">
        <f>'Các Bài Tập'!$O$3</f>
        <v>Glutes</v>
      </c>
    </row>
    <row r="171" spans="12:14" x14ac:dyDescent="0.2">
      <c r="L171">
        <f>'Các Bài Tập'!O16</f>
        <v>0</v>
      </c>
      <c r="M171" s="2" t="str">
        <f>'Các Bài Tập'!$M$2</f>
        <v>Leg</v>
      </c>
      <c r="N171" s="2" t="str">
        <f>'Các Bài Tập'!$O$3</f>
        <v>Glutes</v>
      </c>
    </row>
    <row r="172" spans="12:14" x14ac:dyDescent="0.2">
      <c r="L172" t="str">
        <f>'Các Bài Tập'!P4</f>
        <v>Calf Raise</v>
      </c>
      <c r="M172" s="2" t="str">
        <f>'Các Bài Tập'!$M$2</f>
        <v>Leg</v>
      </c>
      <c r="N172" s="2" t="str">
        <f>'Các Bài Tập'!$P$3</f>
        <v>Calves</v>
      </c>
    </row>
    <row r="173" spans="12:14" x14ac:dyDescent="0.2">
      <c r="L173">
        <f>'Các Bài Tập'!P5</f>
        <v>0</v>
      </c>
      <c r="M173" s="2" t="str">
        <f>'Các Bài Tập'!$M$2</f>
        <v>Leg</v>
      </c>
      <c r="N173" s="2" t="str">
        <f>'Các Bài Tập'!$P$3</f>
        <v>Calves</v>
      </c>
    </row>
    <row r="174" spans="12:14" x14ac:dyDescent="0.2">
      <c r="L174">
        <f>'Các Bài Tập'!P6</f>
        <v>0</v>
      </c>
      <c r="M174" s="2" t="str">
        <f>'Các Bài Tập'!$M$2</f>
        <v>Leg</v>
      </c>
      <c r="N174" s="2" t="str">
        <f>'Các Bài Tập'!$P$3</f>
        <v>Calves</v>
      </c>
    </row>
    <row r="175" spans="12:14" x14ac:dyDescent="0.2">
      <c r="L175">
        <f>'Các Bài Tập'!P7</f>
        <v>0</v>
      </c>
      <c r="M175" s="2" t="str">
        <f>'Các Bài Tập'!$M$2</f>
        <v>Leg</v>
      </c>
      <c r="N175" s="2" t="str">
        <f>'Các Bài Tập'!$P$3</f>
        <v>Calves</v>
      </c>
    </row>
    <row r="176" spans="12:14" x14ac:dyDescent="0.2">
      <c r="L176">
        <f>'Các Bài Tập'!P8</f>
        <v>0</v>
      </c>
      <c r="M176" s="2" t="str">
        <f>'Các Bài Tập'!$M$2</f>
        <v>Leg</v>
      </c>
      <c r="N176" s="2" t="str">
        <f>'Các Bài Tập'!$P$3</f>
        <v>Calves</v>
      </c>
    </row>
    <row r="177" spans="12:14" x14ac:dyDescent="0.2">
      <c r="L177">
        <f>'Các Bài Tập'!P9</f>
        <v>0</v>
      </c>
      <c r="M177" s="2" t="str">
        <f>'Các Bài Tập'!$M$2</f>
        <v>Leg</v>
      </c>
      <c r="N177" s="2" t="str">
        <f>'Các Bài Tập'!$P$3</f>
        <v>Calves</v>
      </c>
    </row>
    <row r="178" spans="12:14" x14ac:dyDescent="0.2">
      <c r="L178">
        <f>'Các Bài Tập'!P10</f>
        <v>0</v>
      </c>
      <c r="M178" s="2" t="str">
        <f>'Các Bài Tập'!$M$2</f>
        <v>Leg</v>
      </c>
      <c r="N178" s="2" t="str">
        <f>'Các Bài Tập'!$P$3</f>
        <v>Calves</v>
      </c>
    </row>
    <row r="179" spans="12:14" x14ac:dyDescent="0.2">
      <c r="L179">
        <f>'Các Bài Tập'!P11</f>
        <v>0</v>
      </c>
      <c r="M179" s="2" t="str">
        <f>'Các Bài Tập'!$M$2</f>
        <v>Leg</v>
      </c>
      <c r="N179" s="2" t="str">
        <f>'Các Bài Tập'!$P$3</f>
        <v>Calves</v>
      </c>
    </row>
    <row r="180" spans="12:14" x14ac:dyDescent="0.2">
      <c r="L180">
        <f>'Các Bài Tập'!P12</f>
        <v>0</v>
      </c>
      <c r="M180" s="2" t="str">
        <f>'Các Bài Tập'!$M$2</f>
        <v>Leg</v>
      </c>
      <c r="N180" s="2" t="str">
        <f>'Các Bài Tập'!$P$3</f>
        <v>Calves</v>
      </c>
    </row>
    <row r="181" spans="12:14" x14ac:dyDescent="0.2">
      <c r="L181">
        <f>'Các Bài Tập'!P13</f>
        <v>0</v>
      </c>
      <c r="M181" s="2" t="str">
        <f>'Các Bài Tập'!$M$2</f>
        <v>Leg</v>
      </c>
      <c r="N181" s="2" t="str">
        <f>'Các Bài Tập'!$P$3</f>
        <v>Calves</v>
      </c>
    </row>
    <row r="182" spans="12:14" x14ac:dyDescent="0.2">
      <c r="L182">
        <f>'Các Bài Tập'!P14</f>
        <v>0</v>
      </c>
      <c r="M182" s="2" t="str">
        <f>'Các Bài Tập'!$M$2</f>
        <v>Leg</v>
      </c>
      <c r="N182" s="2" t="str">
        <f>'Các Bài Tập'!$P$3</f>
        <v>Calves</v>
      </c>
    </row>
    <row r="183" spans="12:14" x14ac:dyDescent="0.2">
      <c r="L183">
        <f>'Các Bài Tập'!P15</f>
        <v>0</v>
      </c>
      <c r="M183" s="2" t="str">
        <f>'Các Bài Tập'!$M$2</f>
        <v>Leg</v>
      </c>
      <c r="N183" s="2" t="str">
        <f>'Các Bài Tập'!$P$3</f>
        <v>Calves</v>
      </c>
    </row>
    <row r="184" spans="12:14" x14ac:dyDescent="0.2">
      <c r="L184">
        <f>'Các Bài Tập'!P16</f>
        <v>0</v>
      </c>
      <c r="M184" s="2" t="str">
        <f>'Các Bài Tập'!$M$2</f>
        <v>Leg</v>
      </c>
      <c r="N184" s="2" t="str">
        <f>'Các Bài Tập'!$P$3</f>
        <v>Calves</v>
      </c>
    </row>
    <row r="185" spans="12:14" x14ac:dyDescent="0.2">
      <c r="L185" t="str">
        <f>'Các Bài Tập'!Q4</f>
        <v>Crunch</v>
      </c>
      <c r="M185" s="2" t="str">
        <f>'Các Bài Tập'!$Q$2</f>
        <v>Core</v>
      </c>
      <c r="N185" s="2" t="str">
        <f>'Các Bài Tập'!$Q$3</f>
        <v>Abs</v>
      </c>
    </row>
    <row r="186" spans="12:14" x14ac:dyDescent="0.2">
      <c r="L186" t="str">
        <f>'Các Bài Tập'!Q5</f>
        <v>Plank</v>
      </c>
      <c r="M186" s="2" t="str">
        <f>'Các Bài Tập'!$Q$2</f>
        <v>Core</v>
      </c>
      <c r="N186" s="2" t="str">
        <f>'Các Bài Tập'!$Q$3</f>
        <v>Abs</v>
      </c>
    </row>
    <row r="187" spans="12:14" x14ac:dyDescent="0.2">
      <c r="L187" t="str">
        <f>'Các Bài Tập'!Q6</f>
        <v>Hanging Leg Raise</v>
      </c>
      <c r="M187" s="2" t="str">
        <f>'Các Bài Tập'!$Q$2</f>
        <v>Core</v>
      </c>
      <c r="N187" s="2" t="str">
        <f>'Các Bài Tập'!$Q$3</f>
        <v>Abs</v>
      </c>
    </row>
    <row r="188" spans="12:14" x14ac:dyDescent="0.2">
      <c r="L188">
        <f>'Các Bài Tập'!Q7</f>
        <v>0</v>
      </c>
      <c r="M188" s="2" t="str">
        <f>'Các Bài Tập'!$Q$2</f>
        <v>Core</v>
      </c>
      <c r="N188" s="2" t="str">
        <f>'Các Bài Tập'!$Q$3</f>
        <v>Abs</v>
      </c>
    </row>
    <row r="189" spans="12:14" x14ac:dyDescent="0.2">
      <c r="L189">
        <f>'Các Bài Tập'!Q8</f>
        <v>0</v>
      </c>
      <c r="M189" s="2" t="str">
        <f>'Các Bài Tập'!$Q$2</f>
        <v>Core</v>
      </c>
      <c r="N189" s="2" t="str">
        <f>'Các Bài Tập'!$Q$3</f>
        <v>Abs</v>
      </c>
    </row>
    <row r="190" spans="12:14" x14ac:dyDescent="0.2">
      <c r="L190">
        <f>'Các Bài Tập'!Q9</f>
        <v>0</v>
      </c>
      <c r="M190" s="2" t="str">
        <f>'Các Bài Tập'!$Q$2</f>
        <v>Core</v>
      </c>
      <c r="N190" s="2" t="str">
        <f>'Các Bài Tập'!$Q$3</f>
        <v>Abs</v>
      </c>
    </row>
    <row r="191" spans="12:14" x14ac:dyDescent="0.2">
      <c r="L191">
        <f>'Các Bài Tập'!Q10</f>
        <v>0</v>
      </c>
      <c r="M191" s="2" t="str">
        <f>'Các Bài Tập'!$Q$2</f>
        <v>Core</v>
      </c>
      <c r="N191" s="2" t="str">
        <f>'Các Bài Tập'!$Q$3</f>
        <v>Abs</v>
      </c>
    </row>
    <row r="192" spans="12:14" x14ac:dyDescent="0.2">
      <c r="L192">
        <f>'Các Bài Tập'!Q11</f>
        <v>0</v>
      </c>
      <c r="M192" s="2" t="str">
        <f>'Các Bài Tập'!$Q$2</f>
        <v>Core</v>
      </c>
      <c r="N192" s="2" t="str">
        <f>'Các Bài Tập'!$Q$3</f>
        <v>Abs</v>
      </c>
    </row>
    <row r="193" spans="12:14" x14ac:dyDescent="0.2">
      <c r="L193">
        <f>'Các Bài Tập'!Q12</f>
        <v>0</v>
      </c>
      <c r="M193" s="2" t="str">
        <f>'Các Bài Tập'!$Q$2</f>
        <v>Core</v>
      </c>
      <c r="N193" s="2" t="str">
        <f>'Các Bài Tập'!$Q$3</f>
        <v>Abs</v>
      </c>
    </row>
    <row r="194" spans="12:14" x14ac:dyDescent="0.2">
      <c r="L194">
        <f>'Các Bài Tập'!Q13</f>
        <v>0</v>
      </c>
      <c r="M194" s="2" t="str">
        <f>'Các Bài Tập'!$Q$2</f>
        <v>Core</v>
      </c>
      <c r="N194" s="2" t="str">
        <f>'Các Bài Tập'!$Q$3</f>
        <v>Abs</v>
      </c>
    </row>
    <row r="195" spans="12:14" x14ac:dyDescent="0.2">
      <c r="L195">
        <f>'Các Bài Tập'!Q14</f>
        <v>0</v>
      </c>
      <c r="M195" s="2" t="str">
        <f>'Các Bài Tập'!$Q$2</f>
        <v>Core</v>
      </c>
      <c r="N195" s="2" t="str">
        <f>'Các Bài Tập'!$Q$3</f>
        <v>Abs</v>
      </c>
    </row>
    <row r="196" spans="12:14" x14ac:dyDescent="0.2">
      <c r="L196">
        <f>'Các Bài Tập'!Q15</f>
        <v>0</v>
      </c>
      <c r="M196" s="2" t="str">
        <f>'Các Bài Tập'!$Q$2</f>
        <v>Core</v>
      </c>
      <c r="N196" s="2" t="str">
        <f>'Các Bài Tập'!$Q$3</f>
        <v>Abs</v>
      </c>
    </row>
    <row r="197" spans="12:14" x14ac:dyDescent="0.2">
      <c r="L197">
        <f>'Các Bài Tập'!Q16</f>
        <v>0</v>
      </c>
      <c r="M197" s="2" t="str">
        <f>'Các Bài Tập'!$Q$2</f>
        <v>Core</v>
      </c>
      <c r="N197" s="2" t="str">
        <f>'Các Bài Tập'!$Q$3</f>
        <v>Abs</v>
      </c>
    </row>
    <row r="198" spans="12:14" x14ac:dyDescent="0.2">
      <c r="L198" t="str">
        <f>'Các Bài Tập'!R4</f>
        <v>Side Plank</v>
      </c>
      <c r="M198" s="2" t="str">
        <f>'Các Bài Tập'!$Q$2</f>
        <v>Core</v>
      </c>
      <c r="N198" s="2" t="str">
        <f>'Các Bài Tập'!$R$3</f>
        <v>Obliques</v>
      </c>
    </row>
    <row r="199" spans="12:14" x14ac:dyDescent="0.2">
      <c r="L199" t="str">
        <f>'Các Bài Tập'!R5</f>
        <v>Russian Twist</v>
      </c>
      <c r="M199" s="2" t="str">
        <f>'Các Bài Tập'!$Q$2</f>
        <v>Core</v>
      </c>
      <c r="N199" s="2" t="str">
        <f>'Các Bài Tập'!$R$3</f>
        <v>Obliques</v>
      </c>
    </row>
    <row r="200" spans="12:14" x14ac:dyDescent="0.2">
      <c r="L200">
        <f>'Các Bài Tập'!R6</f>
        <v>0</v>
      </c>
      <c r="M200" s="2" t="str">
        <f>'Các Bài Tập'!$Q$2</f>
        <v>Core</v>
      </c>
      <c r="N200" s="2" t="str">
        <f>'Các Bài Tập'!$R$3</f>
        <v>Obliques</v>
      </c>
    </row>
    <row r="201" spans="12:14" x14ac:dyDescent="0.2">
      <c r="L201">
        <f>'Các Bài Tập'!R7</f>
        <v>0</v>
      </c>
      <c r="M201" s="2" t="str">
        <f>'Các Bài Tập'!$Q$2</f>
        <v>Core</v>
      </c>
      <c r="N201" s="2" t="str">
        <f>'Các Bài Tập'!$R$3</f>
        <v>Obliques</v>
      </c>
    </row>
    <row r="202" spans="12:14" x14ac:dyDescent="0.2">
      <c r="L202">
        <f>'Các Bài Tập'!R8</f>
        <v>0</v>
      </c>
      <c r="M202" s="2" t="str">
        <f>'Các Bài Tập'!$Q$2</f>
        <v>Core</v>
      </c>
      <c r="N202" s="2" t="str">
        <f>'Các Bài Tập'!$R$3</f>
        <v>Obliques</v>
      </c>
    </row>
    <row r="203" spans="12:14" x14ac:dyDescent="0.2">
      <c r="L203">
        <f>'Các Bài Tập'!R9</f>
        <v>0</v>
      </c>
      <c r="M203" s="2" t="str">
        <f>'Các Bài Tập'!$Q$2</f>
        <v>Core</v>
      </c>
      <c r="N203" s="2" t="str">
        <f>'Các Bài Tập'!$R$3</f>
        <v>Obliques</v>
      </c>
    </row>
    <row r="204" spans="12:14" x14ac:dyDescent="0.2">
      <c r="L204">
        <f>'Các Bài Tập'!R10</f>
        <v>0</v>
      </c>
      <c r="M204" s="2" t="str">
        <f>'Các Bài Tập'!$Q$2</f>
        <v>Core</v>
      </c>
      <c r="N204" s="2" t="str">
        <f>'Các Bài Tập'!$R$3</f>
        <v>Obliques</v>
      </c>
    </row>
    <row r="205" spans="12:14" x14ac:dyDescent="0.2">
      <c r="L205">
        <f>'Các Bài Tập'!R11</f>
        <v>0</v>
      </c>
      <c r="M205" s="2" t="str">
        <f>'Các Bài Tập'!$Q$2</f>
        <v>Core</v>
      </c>
      <c r="N205" s="2" t="str">
        <f>'Các Bài Tập'!$R$3</f>
        <v>Obliques</v>
      </c>
    </row>
    <row r="206" spans="12:14" x14ac:dyDescent="0.2">
      <c r="L206">
        <f>'Các Bài Tập'!R12</f>
        <v>0</v>
      </c>
      <c r="M206" s="2" t="str">
        <f>'Các Bài Tập'!$Q$2</f>
        <v>Core</v>
      </c>
      <c r="N206" s="2" t="str">
        <f>'Các Bài Tập'!$R$3</f>
        <v>Obliques</v>
      </c>
    </row>
    <row r="207" spans="12:14" x14ac:dyDescent="0.2">
      <c r="L207">
        <f>'Các Bài Tập'!R13</f>
        <v>0</v>
      </c>
      <c r="M207" s="2" t="str">
        <f>'Các Bài Tập'!$Q$2</f>
        <v>Core</v>
      </c>
      <c r="N207" s="2" t="str">
        <f>'Các Bài Tập'!$R$3</f>
        <v>Obliques</v>
      </c>
    </row>
    <row r="208" spans="12:14" x14ac:dyDescent="0.2">
      <c r="L208">
        <f>'Các Bài Tập'!R14</f>
        <v>0</v>
      </c>
      <c r="M208" s="2" t="str">
        <f>'Các Bài Tập'!$Q$2</f>
        <v>Core</v>
      </c>
      <c r="N208" s="2" t="str">
        <f>'Các Bài Tập'!$R$3</f>
        <v>Obliques</v>
      </c>
    </row>
    <row r="209" spans="12:14" x14ac:dyDescent="0.2">
      <c r="L209">
        <f>'Các Bài Tập'!R15</f>
        <v>0</v>
      </c>
      <c r="M209" s="2" t="str">
        <f>'Các Bài Tập'!$Q$2</f>
        <v>Core</v>
      </c>
      <c r="N209" s="2" t="str">
        <f>'Các Bài Tập'!$R$3</f>
        <v>Obliques</v>
      </c>
    </row>
    <row r="210" spans="12:14" x14ac:dyDescent="0.2">
      <c r="L210">
        <f>'Các Bài Tập'!R16</f>
        <v>0</v>
      </c>
      <c r="M210" s="2" t="str">
        <f>'Các Bài Tập'!$Q$2</f>
        <v>Core</v>
      </c>
      <c r="N210" s="2" t="str">
        <f>'Các Bài Tập'!$R$3</f>
        <v>Obliques</v>
      </c>
    </row>
  </sheetData>
  <phoneticPr fontId="3" type="noConversion"/>
  <pageMargins left="0.7" right="0.7" top="0.75" bottom="0.75" header="0.3" footer="0.3"/>
  <pageSetup orientation="portrait" r:id="rId1"/>
  <ignoredErrors>
    <ignoredError sqref="M42:M210" calculatedColumn="1"/>
  </ignoredErrors>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Thông Tin Đồ Ăn</vt:lpstr>
      <vt:lpstr>Đồ Mình Ăn</vt:lpstr>
      <vt:lpstr>Track Calo và Weight</vt:lpstr>
      <vt:lpstr>Report Calo n Weight</vt:lpstr>
      <vt:lpstr>Sheet4</vt:lpstr>
      <vt:lpstr>Các Bài Tập</vt:lpstr>
      <vt:lpstr>Lịch Tập</vt:lpstr>
      <vt:lpstr>Report Volume n Set</vt:lpstr>
      <vt:lpstr>Sheet5</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lại dương</cp:lastModifiedBy>
  <dcterms:created xsi:type="dcterms:W3CDTF">2021-08-09T10:01:40Z</dcterms:created>
  <dcterms:modified xsi:type="dcterms:W3CDTF">2024-03-09T08:50:05Z</dcterms:modified>
</cp:coreProperties>
</file>