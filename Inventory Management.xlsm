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Cá nhân\DA\Excel\Excel projects\Hệ Thống Quản Lý Hàng Tồn Kho\"/>
    </mc:Choice>
  </mc:AlternateContent>
  <xr:revisionPtr revIDLastSave="0" documentId="13_ncr:1_{33CDBF93-6A0B-4645-ABC5-B0B7D94A0CCD}" xr6:coauthVersionLast="47" xr6:coauthVersionMax="47" xr10:uidLastSave="{00000000-0000-0000-0000-000000000000}"/>
  <bookViews>
    <workbookView xWindow="-120" yWindow="-120" windowWidth="29040" windowHeight="15720" xr2:uid="{E106B243-B06D-4347-A2AA-DBEA0BC75473}"/>
  </bookViews>
  <sheets>
    <sheet name="Quản lý hàng tồn kho" sheetId="1" r:id="rId1"/>
    <sheet name="Sản Phẩm" sheetId="2" state="hidden" r:id="rId2"/>
    <sheet name="Giao Dịch Mua Bán " sheetId="3" state="hidden" r:id="rId3"/>
    <sheet name="Hiển Thị Mua Bán" sheetId="4" state="hidden" r:id="rId4"/>
    <sheet name="Kho" sheetId="5" state="hidden" r:id="rId5"/>
    <sheet name="Hiển Thị Kho" sheetId="6" state="hidden" r:id="rId6"/>
    <sheet name="Báo Cáo" sheetId="7" state="hidden" r:id="rId7"/>
  </sheets>
  <definedNames>
    <definedName name="_xlnm._FilterDatabase" localSheetId="2" hidden="1">'Giao Dịch Mua Bán '!$A$1:$H$33</definedName>
    <definedName name="_xlnm._FilterDatabase" localSheetId="3" hidden="1">'Hiển Thị Mua Bán'!$A$1:$H$22</definedName>
    <definedName name="_xlnm._FilterDatabase" localSheetId="4" hidden="1">Kho!$A$1:$F$9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7" l="1"/>
  <c r="D6" i="7"/>
  <c r="D7" i="7"/>
  <c r="D9" i="7"/>
  <c r="D8" i="7" l="1"/>
</calcChain>
</file>

<file path=xl/sharedStrings.xml><?xml version="1.0" encoding="utf-8"?>
<sst xmlns="http://schemas.openxmlformats.org/spreadsheetml/2006/main" count="208" uniqueCount="46">
  <si>
    <t>Stt</t>
  </si>
  <si>
    <t>Tên Sản Phẩm</t>
  </si>
  <si>
    <t>Giá Mua</t>
  </si>
  <si>
    <t>Giá Bán</t>
  </si>
  <si>
    <t>Sản Phẩm 1</t>
  </si>
  <si>
    <t>10</t>
  </si>
  <si>
    <t>12</t>
  </si>
  <si>
    <t>Sản Phẩm 2</t>
  </si>
  <si>
    <t>11</t>
  </si>
  <si>
    <t>15</t>
  </si>
  <si>
    <t>20</t>
  </si>
  <si>
    <t>Sản Phẩm 4</t>
  </si>
  <si>
    <t>21</t>
  </si>
  <si>
    <t>Sản phẩm 3</t>
  </si>
  <si>
    <t>Sản Phẩm 5</t>
  </si>
  <si>
    <t>Sản Phẩm 6</t>
  </si>
  <si>
    <t>25</t>
  </si>
  <si>
    <t>Sản Phẩm 7</t>
  </si>
  <si>
    <t>13</t>
  </si>
  <si>
    <t>17</t>
  </si>
  <si>
    <t>18</t>
  </si>
  <si>
    <t>STT</t>
  </si>
  <si>
    <t>Sản Phẩm</t>
  </si>
  <si>
    <t>Giao Dịch</t>
  </si>
  <si>
    <t>Số Lượng</t>
  </si>
  <si>
    <t>Đơn Giá</t>
  </si>
  <si>
    <t>Thành Tiền</t>
  </si>
  <si>
    <t>Lợi Nhuận</t>
  </si>
  <si>
    <t>Date</t>
  </si>
  <si>
    <t>Mua</t>
  </si>
  <si>
    <t>Ban</t>
  </si>
  <si>
    <t>Còn Trong Kho</t>
  </si>
  <si>
    <t>Tong Mua</t>
  </si>
  <si>
    <t>Tong Bán</t>
  </si>
  <si>
    <t>Giá Tri Kho</t>
  </si>
  <si>
    <t>30</t>
  </si>
  <si>
    <t>60</t>
  </si>
  <si>
    <t xml:space="preserve">Từ Ngày </t>
  </si>
  <si>
    <t xml:space="preserve">Đến Ngày </t>
  </si>
  <si>
    <t>Bán</t>
  </si>
  <si>
    <t>Số Lượng Còn Lại Trong Kho</t>
  </si>
  <si>
    <t>Giá Trị Hàng Tồn Kho</t>
  </si>
  <si>
    <t>Sản Phẩm 8</t>
  </si>
  <si>
    <t>50</t>
  </si>
  <si>
    <t>100</t>
  </si>
  <si>
    <t xml:space="preserve">Các bạn click vào đây nhé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</si>
</sst>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b/>
      <sz val="18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8</xdr:col>
      <xdr:colOff>0</xdr:colOff>
      <xdr:row>13</xdr:row>
      <xdr:rowOff>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F7AD13-9410-6E43-A3BE-B2E0029A6C0F}"/>
            </a:ext>
          </a:extLst>
        </xdr:cNvPr>
        <xdr:cNvSpPr/>
      </xdr:nvSpPr>
      <xdr:spPr>
        <a:xfrm>
          <a:off x="2751667" y="1259417"/>
          <a:ext cx="2751666" cy="1079500"/>
        </a:xfrm>
        <a:prstGeom prst="roundRect">
          <a:avLst/>
        </a:prstGeom>
        <a:ln>
          <a:solidFill>
            <a:schemeClr val="bg2">
              <a:lumMod val="50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Times New Roman" panose="02020603050405020304" pitchFamily="18" charset="0"/>
              <a:cs typeface="Times New Roman" panose="02020603050405020304" pitchFamily="18" charset="0"/>
            </a:rPr>
            <a:t>Quản</a:t>
          </a:r>
          <a:r>
            <a:rPr lang="en-US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Lý Kho Hàng</a:t>
          </a:r>
          <a:endParaRPr lang="vi-VN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EACBD-051E-4194-B880-CA817C221224}">
  <sheetPr codeName="Sheet1"/>
  <dimension ref="E4:G6"/>
  <sheetViews>
    <sheetView showGridLines="0" tabSelected="1" zoomScale="90" zoomScaleNormal="90" workbookViewId="0">
      <selection activeCell="J9" sqref="J9"/>
    </sheetView>
  </sheetViews>
  <sheetFormatPr defaultRowHeight="15" x14ac:dyDescent="0.25"/>
  <sheetData>
    <row r="4" spans="5:7" x14ac:dyDescent="0.25">
      <c r="E4" s="2"/>
      <c r="F4" s="2"/>
      <c r="G4" s="2"/>
    </row>
    <row r="5" spans="5:7" ht="22.5" x14ac:dyDescent="0.3">
      <c r="E5" s="3" t="s">
        <v>45</v>
      </c>
      <c r="F5" s="2"/>
      <c r="G5" s="2"/>
    </row>
    <row r="6" spans="5:7" x14ac:dyDescent="0.25">
      <c r="E6" s="2"/>
      <c r="F6" s="2"/>
      <c r="G6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BA165-23B2-4DB4-A26E-F1E04F8392D7}">
  <sheetPr codeName="Sheet2"/>
  <dimension ref="A1:D9"/>
  <sheetViews>
    <sheetView workbookViewId="0">
      <selection activeCell="H17" sqref="H17"/>
    </sheetView>
  </sheetViews>
  <sheetFormatPr defaultRowHeight="15" x14ac:dyDescent="0.25"/>
  <cols>
    <col min="1" max="1" width="5.140625" customWidth="1"/>
    <col min="2" max="2" width="14.5703125" customWidth="1"/>
    <col min="3" max="3" width="10.5703125" customWidth="1"/>
    <col min="4" max="4" width="10.140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13</v>
      </c>
      <c r="C4" t="s">
        <v>18</v>
      </c>
      <c r="D4" t="s">
        <v>10</v>
      </c>
    </row>
    <row r="5" spans="1:4" x14ac:dyDescent="0.25">
      <c r="A5">
        <v>4</v>
      </c>
      <c r="B5" t="s">
        <v>11</v>
      </c>
      <c r="C5" t="s">
        <v>9</v>
      </c>
      <c r="D5" t="s">
        <v>12</v>
      </c>
    </row>
    <row r="6" spans="1:4" x14ac:dyDescent="0.25">
      <c r="A6">
        <v>5</v>
      </c>
      <c r="B6" t="s">
        <v>14</v>
      </c>
      <c r="C6" t="s">
        <v>19</v>
      </c>
      <c r="D6" t="s">
        <v>20</v>
      </c>
    </row>
    <row r="7" spans="1:4" x14ac:dyDescent="0.25">
      <c r="A7">
        <v>6</v>
      </c>
      <c r="B7" t="s">
        <v>15</v>
      </c>
      <c r="C7" t="s">
        <v>10</v>
      </c>
      <c r="D7" t="s">
        <v>16</v>
      </c>
    </row>
    <row r="8" spans="1:4" x14ac:dyDescent="0.25">
      <c r="A8">
        <v>7</v>
      </c>
      <c r="B8" t="s">
        <v>17</v>
      </c>
      <c r="C8" t="s">
        <v>35</v>
      </c>
      <c r="D8" t="s">
        <v>36</v>
      </c>
    </row>
    <row r="9" spans="1:4" x14ac:dyDescent="0.25">
      <c r="A9">
        <v>8</v>
      </c>
      <c r="B9" t="s">
        <v>42</v>
      </c>
      <c r="C9" t="s">
        <v>43</v>
      </c>
      <c r="D9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25F61-300E-4F4B-A35D-132918486F8F}">
  <sheetPr codeName="Sheet3"/>
  <dimension ref="A1:H33"/>
  <sheetViews>
    <sheetView zoomScaleNormal="100" workbookViewId="0">
      <selection activeCell="C33" sqref="C33"/>
    </sheetView>
  </sheetViews>
  <sheetFormatPr defaultRowHeight="15" x14ac:dyDescent="0.25"/>
  <cols>
    <col min="2" max="2" width="11.7109375" bestFit="1" customWidth="1"/>
    <col min="3" max="3" width="9.42578125" bestFit="1" customWidth="1"/>
    <col min="4" max="4" width="9.5703125" bestFit="1" customWidth="1"/>
    <col min="5" max="5" width="8.28515625" bestFit="1" customWidth="1"/>
    <col min="6" max="6" width="10.7109375" bestFit="1" customWidth="1"/>
    <col min="7" max="7" width="10.140625" bestFit="1" customWidth="1"/>
    <col min="8" max="8" width="10.7109375" style="1" bestFit="1" customWidth="1"/>
  </cols>
  <sheetData>
    <row r="1" spans="1:8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s="1" t="s">
        <v>28</v>
      </c>
    </row>
    <row r="2" spans="1:8" x14ac:dyDescent="0.25">
      <c r="A2">
        <v>1</v>
      </c>
      <c r="B2" t="s">
        <v>4</v>
      </c>
      <c r="C2" t="s">
        <v>29</v>
      </c>
      <c r="D2">
        <v>10</v>
      </c>
      <c r="E2">
        <v>10</v>
      </c>
      <c r="F2">
        <v>100</v>
      </c>
      <c r="G2">
        <v>-100</v>
      </c>
      <c r="H2" s="1">
        <v>45120</v>
      </c>
    </row>
    <row r="3" spans="1:8" x14ac:dyDescent="0.25">
      <c r="A3">
        <v>2</v>
      </c>
      <c r="B3" t="s">
        <v>7</v>
      </c>
      <c r="C3" t="s">
        <v>30</v>
      </c>
      <c r="D3">
        <v>20</v>
      </c>
      <c r="E3">
        <v>15</v>
      </c>
      <c r="F3">
        <v>300</v>
      </c>
      <c r="G3">
        <v>300</v>
      </c>
      <c r="H3" s="1">
        <v>45120</v>
      </c>
    </row>
    <row r="4" spans="1:8" x14ac:dyDescent="0.25">
      <c r="A4">
        <v>3</v>
      </c>
      <c r="B4" t="s">
        <v>13</v>
      </c>
      <c r="C4" t="s">
        <v>30</v>
      </c>
      <c r="D4">
        <v>20</v>
      </c>
      <c r="E4">
        <v>20</v>
      </c>
      <c r="F4">
        <v>400</v>
      </c>
      <c r="G4">
        <v>400</v>
      </c>
      <c r="H4" s="1">
        <v>45120</v>
      </c>
    </row>
    <row r="5" spans="1:8" x14ac:dyDescent="0.25">
      <c r="A5">
        <v>4</v>
      </c>
      <c r="B5" t="s">
        <v>11</v>
      </c>
      <c r="C5" t="s">
        <v>29</v>
      </c>
      <c r="D5">
        <v>20</v>
      </c>
      <c r="E5">
        <v>15</v>
      </c>
      <c r="F5">
        <v>300</v>
      </c>
      <c r="G5">
        <v>-300</v>
      </c>
      <c r="H5" s="1">
        <v>45120</v>
      </c>
    </row>
    <row r="6" spans="1:8" x14ac:dyDescent="0.25">
      <c r="A6">
        <v>5</v>
      </c>
      <c r="B6" t="s">
        <v>14</v>
      </c>
      <c r="C6" t="s">
        <v>29</v>
      </c>
      <c r="D6">
        <v>15</v>
      </c>
      <c r="E6">
        <v>17</v>
      </c>
      <c r="F6">
        <v>255</v>
      </c>
      <c r="G6">
        <v>-255</v>
      </c>
      <c r="H6" s="1">
        <v>45120</v>
      </c>
    </row>
    <row r="7" spans="1:8" x14ac:dyDescent="0.25">
      <c r="A7">
        <v>6</v>
      </c>
      <c r="B7" t="s">
        <v>4</v>
      </c>
      <c r="C7" t="s">
        <v>30</v>
      </c>
      <c r="D7">
        <v>10</v>
      </c>
      <c r="E7">
        <v>12</v>
      </c>
      <c r="F7">
        <v>120</v>
      </c>
      <c r="G7">
        <v>120</v>
      </c>
      <c r="H7" s="1">
        <v>45120</v>
      </c>
    </row>
    <row r="8" spans="1:8" x14ac:dyDescent="0.25">
      <c r="A8">
        <v>7</v>
      </c>
      <c r="B8" t="s">
        <v>4</v>
      </c>
      <c r="C8" t="s">
        <v>29</v>
      </c>
      <c r="D8">
        <v>20</v>
      </c>
      <c r="E8">
        <v>10</v>
      </c>
      <c r="F8">
        <v>200</v>
      </c>
      <c r="G8">
        <v>-200</v>
      </c>
      <c r="H8" s="1">
        <v>45120</v>
      </c>
    </row>
    <row r="9" spans="1:8" x14ac:dyDescent="0.25">
      <c r="A9">
        <v>8</v>
      </c>
      <c r="B9" t="s">
        <v>7</v>
      </c>
      <c r="C9" t="s">
        <v>29</v>
      </c>
      <c r="D9">
        <v>40</v>
      </c>
      <c r="E9">
        <v>11</v>
      </c>
      <c r="F9">
        <v>440</v>
      </c>
      <c r="G9">
        <v>-440</v>
      </c>
      <c r="H9" s="1">
        <v>45124</v>
      </c>
    </row>
    <row r="10" spans="1:8" x14ac:dyDescent="0.25">
      <c r="A10">
        <v>9</v>
      </c>
      <c r="B10" t="s">
        <v>13</v>
      </c>
      <c r="C10" t="s">
        <v>29</v>
      </c>
      <c r="D10">
        <v>20</v>
      </c>
      <c r="E10">
        <v>13</v>
      </c>
      <c r="F10">
        <v>260</v>
      </c>
      <c r="G10">
        <v>-260</v>
      </c>
      <c r="H10" s="1">
        <v>45124</v>
      </c>
    </row>
    <row r="11" spans="1:8" x14ac:dyDescent="0.25">
      <c r="A11">
        <v>10</v>
      </c>
      <c r="B11" t="s">
        <v>15</v>
      </c>
      <c r="C11" t="s">
        <v>29</v>
      </c>
      <c r="D11">
        <v>10</v>
      </c>
      <c r="E11">
        <v>20</v>
      </c>
      <c r="F11">
        <v>200</v>
      </c>
      <c r="G11">
        <v>-200</v>
      </c>
      <c r="H11" s="1">
        <v>45124</v>
      </c>
    </row>
    <row r="12" spans="1:8" x14ac:dyDescent="0.25">
      <c r="A12">
        <v>11</v>
      </c>
      <c r="B12" t="s">
        <v>17</v>
      </c>
      <c r="C12" t="s">
        <v>29</v>
      </c>
      <c r="D12">
        <v>20</v>
      </c>
      <c r="E12">
        <v>30</v>
      </c>
      <c r="F12">
        <v>600</v>
      </c>
      <c r="G12">
        <v>-600</v>
      </c>
      <c r="H12" s="1">
        <v>45124</v>
      </c>
    </row>
    <row r="13" spans="1:8" x14ac:dyDescent="0.25">
      <c r="A13">
        <v>12</v>
      </c>
      <c r="B13" t="s">
        <v>17</v>
      </c>
      <c r="C13" t="s">
        <v>29</v>
      </c>
      <c r="D13">
        <v>0</v>
      </c>
      <c r="E13">
        <v>30</v>
      </c>
      <c r="F13">
        <v>0</v>
      </c>
      <c r="G13">
        <v>0</v>
      </c>
      <c r="H13" s="1">
        <v>45124</v>
      </c>
    </row>
    <row r="14" spans="1:8" x14ac:dyDescent="0.25">
      <c r="A14">
        <v>13</v>
      </c>
      <c r="B14" t="s">
        <v>4</v>
      </c>
      <c r="C14" t="s">
        <v>30</v>
      </c>
      <c r="D14">
        <v>20</v>
      </c>
      <c r="E14">
        <v>12</v>
      </c>
      <c r="F14">
        <v>240</v>
      </c>
      <c r="G14">
        <v>240</v>
      </c>
      <c r="H14" s="1">
        <v>45124</v>
      </c>
    </row>
    <row r="15" spans="1:8" x14ac:dyDescent="0.25">
      <c r="A15">
        <v>14</v>
      </c>
      <c r="B15" t="s">
        <v>7</v>
      </c>
      <c r="C15" t="s">
        <v>30</v>
      </c>
      <c r="D15">
        <v>20</v>
      </c>
      <c r="E15">
        <v>15</v>
      </c>
      <c r="F15">
        <v>300</v>
      </c>
      <c r="G15">
        <v>300</v>
      </c>
      <c r="H15" s="1">
        <v>45124</v>
      </c>
    </row>
    <row r="16" spans="1:8" x14ac:dyDescent="0.25">
      <c r="A16">
        <v>15</v>
      </c>
      <c r="B16" t="s">
        <v>11</v>
      </c>
      <c r="C16" t="s">
        <v>30</v>
      </c>
      <c r="D16">
        <v>20</v>
      </c>
      <c r="E16">
        <v>21</v>
      </c>
      <c r="F16">
        <v>420</v>
      </c>
      <c r="G16">
        <v>420</v>
      </c>
      <c r="H16" s="1">
        <v>45124</v>
      </c>
    </row>
    <row r="17" spans="1:8" x14ac:dyDescent="0.25">
      <c r="A17">
        <v>16</v>
      </c>
      <c r="B17" t="s">
        <v>14</v>
      </c>
      <c r="C17" t="s">
        <v>30</v>
      </c>
      <c r="D17">
        <v>15</v>
      </c>
      <c r="E17">
        <v>18</v>
      </c>
      <c r="F17">
        <v>270</v>
      </c>
      <c r="G17">
        <v>270</v>
      </c>
      <c r="H17" s="1">
        <v>45124</v>
      </c>
    </row>
    <row r="18" spans="1:8" x14ac:dyDescent="0.25">
      <c r="A18">
        <v>17</v>
      </c>
      <c r="B18" t="s">
        <v>15</v>
      </c>
      <c r="C18" t="s">
        <v>30</v>
      </c>
      <c r="D18">
        <v>10</v>
      </c>
      <c r="E18">
        <v>25</v>
      </c>
      <c r="F18">
        <v>250</v>
      </c>
      <c r="G18">
        <v>250</v>
      </c>
      <c r="H18" s="1">
        <v>45124</v>
      </c>
    </row>
    <row r="19" spans="1:8" x14ac:dyDescent="0.25">
      <c r="A19">
        <v>18</v>
      </c>
      <c r="B19" t="s">
        <v>17</v>
      </c>
      <c r="C19" t="s">
        <v>30</v>
      </c>
      <c r="D19">
        <v>20</v>
      </c>
      <c r="E19">
        <v>60</v>
      </c>
      <c r="F19">
        <v>1200</v>
      </c>
      <c r="G19">
        <v>1200</v>
      </c>
      <c r="H19" s="1">
        <v>45124</v>
      </c>
    </row>
    <row r="20" spans="1:8" x14ac:dyDescent="0.25">
      <c r="A20">
        <v>19</v>
      </c>
      <c r="B20" t="s">
        <v>13</v>
      </c>
      <c r="C20" t="s">
        <v>29</v>
      </c>
      <c r="D20">
        <v>30</v>
      </c>
      <c r="E20">
        <v>13</v>
      </c>
      <c r="F20">
        <v>390</v>
      </c>
      <c r="G20">
        <v>-390</v>
      </c>
      <c r="H20" s="1">
        <v>45121</v>
      </c>
    </row>
    <row r="21" spans="1:8" x14ac:dyDescent="0.25">
      <c r="A21">
        <v>20</v>
      </c>
      <c r="B21" t="s">
        <v>11</v>
      </c>
      <c r="C21" t="s">
        <v>30</v>
      </c>
      <c r="D21">
        <v>40</v>
      </c>
      <c r="E21">
        <v>21</v>
      </c>
      <c r="F21">
        <v>840</v>
      </c>
      <c r="G21">
        <v>840</v>
      </c>
      <c r="H21" s="1">
        <v>45121</v>
      </c>
    </row>
    <row r="22" spans="1:8" x14ac:dyDescent="0.25">
      <c r="A22">
        <v>21</v>
      </c>
      <c r="B22" t="s">
        <v>11</v>
      </c>
      <c r="C22" t="s">
        <v>29</v>
      </c>
      <c r="D22">
        <v>50</v>
      </c>
      <c r="E22">
        <v>15</v>
      </c>
      <c r="F22">
        <v>750</v>
      </c>
      <c r="G22">
        <v>-750</v>
      </c>
      <c r="H22" s="1">
        <v>45121</v>
      </c>
    </row>
    <row r="23" spans="1:8" x14ac:dyDescent="0.25">
      <c r="A23">
        <v>22</v>
      </c>
      <c r="B23" t="s">
        <v>15</v>
      </c>
      <c r="C23" t="s">
        <v>29</v>
      </c>
      <c r="D23">
        <v>10</v>
      </c>
      <c r="E23">
        <v>20</v>
      </c>
      <c r="F23">
        <v>200</v>
      </c>
      <c r="G23">
        <v>-200</v>
      </c>
      <c r="H23" s="1">
        <v>45125</v>
      </c>
    </row>
    <row r="24" spans="1:8" x14ac:dyDescent="0.25">
      <c r="A24">
        <v>23</v>
      </c>
      <c r="B24" t="s">
        <v>15</v>
      </c>
      <c r="C24" t="s">
        <v>30</v>
      </c>
      <c r="D24">
        <v>10</v>
      </c>
      <c r="E24">
        <v>25</v>
      </c>
      <c r="F24">
        <v>250</v>
      </c>
      <c r="G24">
        <v>250</v>
      </c>
      <c r="H24" s="1">
        <v>45125</v>
      </c>
    </row>
    <row r="25" spans="1:8" x14ac:dyDescent="0.25">
      <c r="A25">
        <v>24</v>
      </c>
      <c r="B25" t="s">
        <v>13</v>
      </c>
      <c r="C25" t="s">
        <v>29</v>
      </c>
      <c r="D25">
        <v>100</v>
      </c>
      <c r="E25">
        <v>13</v>
      </c>
      <c r="F25">
        <v>1300</v>
      </c>
      <c r="G25">
        <v>-1300</v>
      </c>
      <c r="H25" s="1">
        <v>45125</v>
      </c>
    </row>
    <row r="26" spans="1:8" x14ac:dyDescent="0.25">
      <c r="A26">
        <v>25</v>
      </c>
      <c r="B26" t="s">
        <v>4</v>
      </c>
      <c r="C26" t="s">
        <v>29</v>
      </c>
      <c r="D26">
        <v>200</v>
      </c>
      <c r="E26">
        <v>10</v>
      </c>
      <c r="F26">
        <v>2000</v>
      </c>
      <c r="G26">
        <v>-2000</v>
      </c>
      <c r="H26" s="1">
        <v>45125</v>
      </c>
    </row>
    <row r="27" spans="1:8" x14ac:dyDescent="0.25">
      <c r="A27">
        <v>26</v>
      </c>
      <c r="B27" t="s">
        <v>7</v>
      </c>
      <c r="C27" t="s">
        <v>29</v>
      </c>
      <c r="D27">
        <v>50</v>
      </c>
      <c r="E27">
        <v>11</v>
      </c>
      <c r="F27">
        <v>550</v>
      </c>
      <c r="G27">
        <v>-550</v>
      </c>
      <c r="H27" s="1">
        <v>45125</v>
      </c>
    </row>
    <row r="28" spans="1:8" x14ac:dyDescent="0.25">
      <c r="A28">
        <v>27</v>
      </c>
      <c r="B28" t="s">
        <v>14</v>
      </c>
      <c r="C28" t="s">
        <v>29</v>
      </c>
      <c r="D28">
        <v>50</v>
      </c>
      <c r="E28">
        <v>17</v>
      </c>
      <c r="F28">
        <v>850</v>
      </c>
      <c r="G28">
        <v>-850</v>
      </c>
      <c r="H28" s="1">
        <v>45125</v>
      </c>
    </row>
    <row r="29" spans="1:8" x14ac:dyDescent="0.25">
      <c r="A29">
        <v>28</v>
      </c>
      <c r="B29" t="s">
        <v>4</v>
      </c>
      <c r="C29" t="s">
        <v>30</v>
      </c>
      <c r="D29">
        <v>150</v>
      </c>
      <c r="E29">
        <v>12</v>
      </c>
      <c r="F29">
        <v>1800</v>
      </c>
      <c r="G29">
        <v>1800</v>
      </c>
      <c r="H29" s="1">
        <v>45125</v>
      </c>
    </row>
    <row r="30" spans="1:8" x14ac:dyDescent="0.25">
      <c r="A30">
        <v>29</v>
      </c>
      <c r="B30" t="s">
        <v>7</v>
      </c>
      <c r="C30" t="s">
        <v>30</v>
      </c>
      <c r="D30">
        <v>20</v>
      </c>
      <c r="E30">
        <v>15</v>
      </c>
      <c r="F30">
        <v>300</v>
      </c>
      <c r="G30">
        <v>300</v>
      </c>
      <c r="H30" s="1">
        <v>45125</v>
      </c>
    </row>
    <row r="31" spans="1:8" x14ac:dyDescent="0.25">
      <c r="A31">
        <v>30</v>
      </c>
      <c r="B31" t="s">
        <v>13</v>
      </c>
      <c r="C31" t="s">
        <v>30</v>
      </c>
      <c r="D31">
        <v>90</v>
      </c>
      <c r="E31">
        <v>20</v>
      </c>
      <c r="F31">
        <v>1800</v>
      </c>
      <c r="G31">
        <v>1800</v>
      </c>
      <c r="H31" s="1">
        <v>45125</v>
      </c>
    </row>
    <row r="32" spans="1:8" x14ac:dyDescent="0.25">
      <c r="A32">
        <v>31</v>
      </c>
      <c r="B32" t="s">
        <v>14</v>
      </c>
      <c r="C32" t="s">
        <v>30</v>
      </c>
      <c r="D32">
        <v>40</v>
      </c>
      <c r="E32">
        <v>18</v>
      </c>
      <c r="F32">
        <v>720</v>
      </c>
      <c r="G32">
        <v>720</v>
      </c>
      <c r="H32" s="1">
        <v>45125</v>
      </c>
    </row>
    <row r="33" spans="1:8" x14ac:dyDescent="0.25">
      <c r="A33">
        <v>32</v>
      </c>
      <c r="B33" t="s">
        <v>4</v>
      </c>
      <c r="C33" t="s">
        <v>29</v>
      </c>
      <c r="D33">
        <v>100</v>
      </c>
      <c r="E33">
        <v>10</v>
      </c>
      <c r="F33">
        <v>1000</v>
      </c>
      <c r="G33">
        <v>-1000</v>
      </c>
      <c r="H33" s="1">
        <v>45149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CA14B-9228-4E3B-BCBC-9C64A9D3F35C}">
  <sheetPr codeName="Sheet4"/>
  <dimension ref="A1:H33"/>
  <sheetViews>
    <sheetView zoomScaleNormal="100" workbookViewId="0">
      <selection sqref="A1:H33"/>
    </sheetView>
  </sheetViews>
  <sheetFormatPr defaultRowHeight="15" x14ac:dyDescent="0.25"/>
  <cols>
    <col min="2" max="2" width="11" bestFit="1" customWidth="1"/>
    <col min="3" max="3" width="8.85546875" bestFit="1" customWidth="1"/>
    <col min="4" max="4" width="9.140625" bestFit="1" customWidth="1"/>
    <col min="5" max="5" width="7.7109375" bestFit="1" customWidth="1"/>
    <col min="6" max="6" width="10" bestFit="1" customWidth="1"/>
    <col min="7" max="7" width="9.28515625" bestFit="1" customWidth="1"/>
    <col min="8" max="8" width="10.7109375" bestFit="1" customWidth="1"/>
  </cols>
  <sheetData>
    <row r="1" spans="1:8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s="1" t="s">
        <v>28</v>
      </c>
    </row>
    <row r="2" spans="1:8" x14ac:dyDescent="0.25">
      <c r="A2">
        <v>1</v>
      </c>
      <c r="B2" t="s">
        <v>4</v>
      </c>
      <c r="C2" t="s">
        <v>29</v>
      </c>
      <c r="D2">
        <v>10</v>
      </c>
      <c r="E2">
        <v>10</v>
      </c>
      <c r="F2">
        <v>100</v>
      </c>
      <c r="G2">
        <v>-100</v>
      </c>
      <c r="H2" s="1">
        <v>45120</v>
      </c>
    </row>
    <row r="3" spans="1:8" x14ac:dyDescent="0.25">
      <c r="A3">
        <v>2</v>
      </c>
      <c r="B3" t="s">
        <v>7</v>
      </c>
      <c r="C3" t="s">
        <v>30</v>
      </c>
      <c r="D3">
        <v>20</v>
      </c>
      <c r="E3">
        <v>15</v>
      </c>
      <c r="F3">
        <v>300</v>
      </c>
      <c r="G3">
        <v>300</v>
      </c>
      <c r="H3" s="1">
        <v>45120</v>
      </c>
    </row>
    <row r="4" spans="1:8" x14ac:dyDescent="0.25">
      <c r="A4">
        <v>3</v>
      </c>
      <c r="B4" t="s">
        <v>13</v>
      </c>
      <c r="C4" t="s">
        <v>30</v>
      </c>
      <c r="D4">
        <v>20</v>
      </c>
      <c r="E4">
        <v>20</v>
      </c>
      <c r="F4">
        <v>400</v>
      </c>
      <c r="G4">
        <v>400</v>
      </c>
      <c r="H4" s="1">
        <v>45120</v>
      </c>
    </row>
    <row r="5" spans="1:8" x14ac:dyDescent="0.25">
      <c r="A5">
        <v>4</v>
      </c>
      <c r="B5" t="s">
        <v>11</v>
      </c>
      <c r="C5" t="s">
        <v>29</v>
      </c>
      <c r="D5">
        <v>20</v>
      </c>
      <c r="E5">
        <v>15</v>
      </c>
      <c r="F5">
        <v>300</v>
      </c>
      <c r="G5">
        <v>-300</v>
      </c>
      <c r="H5" s="1">
        <v>45120</v>
      </c>
    </row>
    <row r="6" spans="1:8" x14ac:dyDescent="0.25">
      <c r="A6">
        <v>5</v>
      </c>
      <c r="B6" t="s">
        <v>14</v>
      </c>
      <c r="C6" t="s">
        <v>29</v>
      </c>
      <c r="D6">
        <v>15</v>
      </c>
      <c r="E6">
        <v>17</v>
      </c>
      <c r="F6">
        <v>255</v>
      </c>
      <c r="G6">
        <v>-255</v>
      </c>
      <c r="H6" s="1">
        <v>45120</v>
      </c>
    </row>
    <row r="7" spans="1:8" x14ac:dyDescent="0.25">
      <c r="A7">
        <v>6</v>
      </c>
      <c r="B7" t="s">
        <v>4</v>
      </c>
      <c r="C7" t="s">
        <v>30</v>
      </c>
      <c r="D7">
        <v>10</v>
      </c>
      <c r="E7">
        <v>12</v>
      </c>
      <c r="F7">
        <v>120</v>
      </c>
      <c r="G7">
        <v>120</v>
      </c>
      <c r="H7" s="1">
        <v>45120</v>
      </c>
    </row>
    <row r="8" spans="1:8" x14ac:dyDescent="0.25">
      <c r="A8">
        <v>7</v>
      </c>
      <c r="B8" t="s">
        <v>4</v>
      </c>
      <c r="C8" t="s">
        <v>29</v>
      </c>
      <c r="D8">
        <v>20</v>
      </c>
      <c r="E8">
        <v>10</v>
      </c>
      <c r="F8">
        <v>200</v>
      </c>
      <c r="G8">
        <v>-200</v>
      </c>
      <c r="H8" s="1">
        <v>45120</v>
      </c>
    </row>
    <row r="9" spans="1:8" x14ac:dyDescent="0.25">
      <c r="A9">
        <v>8</v>
      </c>
      <c r="B9" t="s">
        <v>7</v>
      </c>
      <c r="C9" t="s">
        <v>29</v>
      </c>
      <c r="D9">
        <v>40</v>
      </c>
      <c r="E9">
        <v>11</v>
      </c>
      <c r="F9">
        <v>440</v>
      </c>
      <c r="G9">
        <v>-440</v>
      </c>
      <c r="H9" s="1">
        <v>45124</v>
      </c>
    </row>
    <row r="10" spans="1:8" x14ac:dyDescent="0.25">
      <c r="A10">
        <v>9</v>
      </c>
      <c r="B10" t="s">
        <v>13</v>
      </c>
      <c r="C10" t="s">
        <v>29</v>
      </c>
      <c r="D10">
        <v>20</v>
      </c>
      <c r="E10">
        <v>13</v>
      </c>
      <c r="F10">
        <v>260</v>
      </c>
      <c r="G10">
        <v>-260</v>
      </c>
      <c r="H10" s="1">
        <v>45124</v>
      </c>
    </row>
    <row r="11" spans="1:8" x14ac:dyDescent="0.25">
      <c r="A11">
        <v>10</v>
      </c>
      <c r="B11" t="s">
        <v>15</v>
      </c>
      <c r="C11" t="s">
        <v>29</v>
      </c>
      <c r="D11">
        <v>10</v>
      </c>
      <c r="E11">
        <v>20</v>
      </c>
      <c r="F11">
        <v>200</v>
      </c>
      <c r="G11">
        <v>-200</v>
      </c>
      <c r="H11" s="1">
        <v>45124</v>
      </c>
    </row>
    <row r="12" spans="1:8" x14ac:dyDescent="0.25">
      <c r="A12">
        <v>11</v>
      </c>
      <c r="B12" t="s">
        <v>17</v>
      </c>
      <c r="C12" t="s">
        <v>29</v>
      </c>
      <c r="D12">
        <v>20</v>
      </c>
      <c r="E12">
        <v>30</v>
      </c>
      <c r="F12">
        <v>600</v>
      </c>
      <c r="G12">
        <v>-600</v>
      </c>
      <c r="H12" s="1">
        <v>45124</v>
      </c>
    </row>
    <row r="13" spans="1:8" x14ac:dyDescent="0.25">
      <c r="A13">
        <v>12</v>
      </c>
      <c r="B13" t="s">
        <v>17</v>
      </c>
      <c r="C13" t="s">
        <v>29</v>
      </c>
      <c r="D13">
        <v>0</v>
      </c>
      <c r="E13">
        <v>30</v>
      </c>
      <c r="F13">
        <v>0</v>
      </c>
      <c r="G13">
        <v>0</v>
      </c>
      <c r="H13" s="1">
        <v>45124</v>
      </c>
    </row>
    <row r="14" spans="1:8" x14ac:dyDescent="0.25">
      <c r="A14">
        <v>13</v>
      </c>
      <c r="B14" t="s">
        <v>4</v>
      </c>
      <c r="C14" t="s">
        <v>30</v>
      </c>
      <c r="D14">
        <v>20</v>
      </c>
      <c r="E14">
        <v>12</v>
      </c>
      <c r="F14">
        <v>240</v>
      </c>
      <c r="G14">
        <v>240</v>
      </c>
      <c r="H14" s="1">
        <v>45124</v>
      </c>
    </row>
    <row r="15" spans="1:8" x14ac:dyDescent="0.25">
      <c r="A15">
        <v>14</v>
      </c>
      <c r="B15" t="s">
        <v>7</v>
      </c>
      <c r="C15" t="s">
        <v>30</v>
      </c>
      <c r="D15">
        <v>20</v>
      </c>
      <c r="E15">
        <v>15</v>
      </c>
      <c r="F15">
        <v>300</v>
      </c>
      <c r="G15">
        <v>300</v>
      </c>
      <c r="H15" s="1">
        <v>45124</v>
      </c>
    </row>
    <row r="16" spans="1:8" x14ac:dyDescent="0.25">
      <c r="A16">
        <v>15</v>
      </c>
      <c r="B16" t="s">
        <v>11</v>
      </c>
      <c r="C16" t="s">
        <v>30</v>
      </c>
      <c r="D16">
        <v>20</v>
      </c>
      <c r="E16">
        <v>21</v>
      </c>
      <c r="F16">
        <v>420</v>
      </c>
      <c r="G16">
        <v>420</v>
      </c>
      <c r="H16" s="1">
        <v>45124</v>
      </c>
    </row>
    <row r="17" spans="1:8" x14ac:dyDescent="0.25">
      <c r="A17">
        <v>16</v>
      </c>
      <c r="B17" t="s">
        <v>14</v>
      </c>
      <c r="C17" t="s">
        <v>30</v>
      </c>
      <c r="D17">
        <v>15</v>
      </c>
      <c r="E17">
        <v>18</v>
      </c>
      <c r="F17">
        <v>270</v>
      </c>
      <c r="G17">
        <v>270</v>
      </c>
      <c r="H17" s="1">
        <v>45124</v>
      </c>
    </row>
    <row r="18" spans="1:8" x14ac:dyDescent="0.25">
      <c r="A18">
        <v>17</v>
      </c>
      <c r="B18" t="s">
        <v>15</v>
      </c>
      <c r="C18" t="s">
        <v>30</v>
      </c>
      <c r="D18">
        <v>10</v>
      </c>
      <c r="E18">
        <v>25</v>
      </c>
      <c r="F18">
        <v>250</v>
      </c>
      <c r="G18">
        <v>250</v>
      </c>
      <c r="H18" s="1">
        <v>45124</v>
      </c>
    </row>
    <row r="19" spans="1:8" x14ac:dyDescent="0.25">
      <c r="A19">
        <v>18</v>
      </c>
      <c r="B19" t="s">
        <v>17</v>
      </c>
      <c r="C19" t="s">
        <v>30</v>
      </c>
      <c r="D19">
        <v>20</v>
      </c>
      <c r="E19">
        <v>60</v>
      </c>
      <c r="F19">
        <v>1200</v>
      </c>
      <c r="G19">
        <v>1200</v>
      </c>
      <c r="H19" s="1">
        <v>45124</v>
      </c>
    </row>
    <row r="20" spans="1:8" x14ac:dyDescent="0.25">
      <c r="A20">
        <v>19</v>
      </c>
      <c r="B20" t="s">
        <v>13</v>
      </c>
      <c r="C20" t="s">
        <v>29</v>
      </c>
      <c r="D20">
        <v>30</v>
      </c>
      <c r="E20">
        <v>13</v>
      </c>
      <c r="F20">
        <v>390</v>
      </c>
      <c r="G20">
        <v>-390</v>
      </c>
      <c r="H20" s="1">
        <v>45121</v>
      </c>
    </row>
    <row r="21" spans="1:8" x14ac:dyDescent="0.25">
      <c r="A21">
        <v>20</v>
      </c>
      <c r="B21" t="s">
        <v>11</v>
      </c>
      <c r="C21" t="s">
        <v>30</v>
      </c>
      <c r="D21">
        <v>40</v>
      </c>
      <c r="E21">
        <v>21</v>
      </c>
      <c r="F21">
        <v>840</v>
      </c>
      <c r="G21">
        <v>840</v>
      </c>
      <c r="H21" s="1">
        <v>45121</v>
      </c>
    </row>
    <row r="22" spans="1:8" x14ac:dyDescent="0.25">
      <c r="A22">
        <v>21</v>
      </c>
      <c r="B22" t="s">
        <v>11</v>
      </c>
      <c r="C22" t="s">
        <v>29</v>
      </c>
      <c r="D22">
        <v>50</v>
      </c>
      <c r="E22">
        <v>15</v>
      </c>
      <c r="F22">
        <v>750</v>
      </c>
      <c r="G22">
        <v>-750</v>
      </c>
      <c r="H22" s="1">
        <v>45121</v>
      </c>
    </row>
    <row r="23" spans="1:8" x14ac:dyDescent="0.25">
      <c r="A23">
        <v>22</v>
      </c>
      <c r="B23" t="s">
        <v>15</v>
      </c>
      <c r="C23" t="s">
        <v>29</v>
      </c>
      <c r="D23">
        <v>10</v>
      </c>
      <c r="E23">
        <v>20</v>
      </c>
      <c r="F23">
        <v>200</v>
      </c>
      <c r="G23">
        <v>-200</v>
      </c>
      <c r="H23" s="1">
        <v>45125</v>
      </c>
    </row>
    <row r="24" spans="1:8" x14ac:dyDescent="0.25">
      <c r="A24">
        <v>23</v>
      </c>
      <c r="B24" t="s">
        <v>15</v>
      </c>
      <c r="C24" t="s">
        <v>30</v>
      </c>
      <c r="D24">
        <v>10</v>
      </c>
      <c r="E24">
        <v>25</v>
      </c>
      <c r="F24">
        <v>250</v>
      </c>
      <c r="G24">
        <v>250</v>
      </c>
      <c r="H24" s="1">
        <v>45125</v>
      </c>
    </row>
    <row r="25" spans="1:8" x14ac:dyDescent="0.25">
      <c r="A25">
        <v>24</v>
      </c>
      <c r="B25" t="s">
        <v>13</v>
      </c>
      <c r="C25" t="s">
        <v>29</v>
      </c>
      <c r="D25">
        <v>100</v>
      </c>
      <c r="E25">
        <v>13</v>
      </c>
      <c r="F25">
        <v>1300</v>
      </c>
      <c r="G25">
        <v>-1300</v>
      </c>
      <c r="H25" s="1">
        <v>45125</v>
      </c>
    </row>
    <row r="26" spans="1:8" x14ac:dyDescent="0.25">
      <c r="A26">
        <v>25</v>
      </c>
      <c r="B26" t="s">
        <v>4</v>
      </c>
      <c r="C26" t="s">
        <v>29</v>
      </c>
      <c r="D26">
        <v>200</v>
      </c>
      <c r="E26">
        <v>10</v>
      </c>
      <c r="F26">
        <v>2000</v>
      </c>
      <c r="G26">
        <v>-2000</v>
      </c>
      <c r="H26" s="1">
        <v>45125</v>
      </c>
    </row>
    <row r="27" spans="1:8" x14ac:dyDescent="0.25">
      <c r="A27">
        <v>26</v>
      </c>
      <c r="B27" t="s">
        <v>7</v>
      </c>
      <c r="C27" t="s">
        <v>29</v>
      </c>
      <c r="D27">
        <v>50</v>
      </c>
      <c r="E27">
        <v>11</v>
      </c>
      <c r="F27">
        <v>550</v>
      </c>
      <c r="G27">
        <v>-550</v>
      </c>
      <c r="H27" s="1">
        <v>45125</v>
      </c>
    </row>
    <row r="28" spans="1:8" x14ac:dyDescent="0.25">
      <c r="A28">
        <v>27</v>
      </c>
      <c r="B28" t="s">
        <v>14</v>
      </c>
      <c r="C28" t="s">
        <v>29</v>
      </c>
      <c r="D28">
        <v>50</v>
      </c>
      <c r="E28">
        <v>17</v>
      </c>
      <c r="F28">
        <v>850</v>
      </c>
      <c r="G28">
        <v>-850</v>
      </c>
      <c r="H28" s="1">
        <v>45125</v>
      </c>
    </row>
    <row r="29" spans="1:8" x14ac:dyDescent="0.25">
      <c r="A29">
        <v>28</v>
      </c>
      <c r="B29" t="s">
        <v>4</v>
      </c>
      <c r="C29" t="s">
        <v>30</v>
      </c>
      <c r="D29">
        <v>150</v>
      </c>
      <c r="E29">
        <v>12</v>
      </c>
      <c r="F29">
        <v>1800</v>
      </c>
      <c r="G29">
        <v>1800</v>
      </c>
      <c r="H29" s="1">
        <v>45125</v>
      </c>
    </row>
    <row r="30" spans="1:8" x14ac:dyDescent="0.25">
      <c r="A30">
        <v>29</v>
      </c>
      <c r="B30" t="s">
        <v>7</v>
      </c>
      <c r="C30" t="s">
        <v>30</v>
      </c>
      <c r="D30">
        <v>20</v>
      </c>
      <c r="E30">
        <v>15</v>
      </c>
      <c r="F30">
        <v>300</v>
      </c>
      <c r="G30">
        <v>300</v>
      </c>
      <c r="H30" s="1">
        <v>45125</v>
      </c>
    </row>
    <row r="31" spans="1:8" x14ac:dyDescent="0.25">
      <c r="A31">
        <v>30</v>
      </c>
      <c r="B31" t="s">
        <v>13</v>
      </c>
      <c r="C31" t="s">
        <v>30</v>
      </c>
      <c r="D31">
        <v>90</v>
      </c>
      <c r="E31">
        <v>20</v>
      </c>
      <c r="F31">
        <v>1800</v>
      </c>
      <c r="G31">
        <v>1800</v>
      </c>
      <c r="H31" s="1">
        <v>45125</v>
      </c>
    </row>
    <row r="32" spans="1:8" x14ac:dyDescent="0.25">
      <c r="A32">
        <v>31</v>
      </c>
      <c r="B32" t="s">
        <v>14</v>
      </c>
      <c r="C32" t="s">
        <v>30</v>
      </c>
      <c r="D32">
        <v>40</v>
      </c>
      <c r="E32">
        <v>18</v>
      </c>
      <c r="F32">
        <v>720</v>
      </c>
      <c r="G32">
        <v>720</v>
      </c>
      <c r="H32" s="1">
        <v>45125</v>
      </c>
    </row>
    <row r="33" spans="1:8" x14ac:dyDescent="0.25">
      <c r="A33">
        <v>32</v>
      </c>
      <c r="B33" t="s">
        <v>4</v>
      </c>
      <c r="C33" t="s">
        <v>29</v>
      </c>
      <c r="D33">
        <v>100</v>
      </c>
      <c r="E33">
        <v>10</v>
      </c>
      <c r="F33">
        <v>1000</v>
      </c>
      <c r="G33">
        <v>-1000</v>
      </c>
      <c r="H33" s="1">
        <v>45149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46A0-CA76-4C39-AAEF-77580F05974E}">
  <sheetPr codeName="Sheet5"/>
  <dimension ref="A1:F9"/>
  <sheetViews>
    <sheetView zoomScaleNormal="100" workbookViewId="0">
      <selection sqref="A1:F9"/>
    </sheetView>
  </sheetViews>
  <sheetFormatPr defaultRowHeight="15" x14ac:dyDescent="0.25"/>
  <cols>
    <col min="1" max="1" width="4.42578125" bestFit="1" customWidth="1"/>
    <col min="2" max="2" width="14.5703125" customWidth="1"/>
    <col min="3" max="3" width="9.42578125" bestFit="1" customWidth="1"/>
    <col min="4" max="4" width="8.7109375" bestFit="1" customWidth="1"/>
    <col min="5" max="5" width="13.85546875" bestFit="1" customWidth="1"/>
    <col min="6" max="6" width="10" bestFit="1" customWidth="1"/>
  </cols>
  <sheetData>
    <row r="1" spans="1:6" x14ac:dyDescent="0.25">
      <c r="A1" t="s">
        <v>21</v>
      </c>
      <c r="B1" t="s">
        <v>1</v>
      </c>
      <c r="C1" t="s">
        <v>32</v>
      </c>
      <c r="D1" t="s">
        <v>33</v>
      </c>
      <c r="E1" t="s">
        <v>31</v>
      </c>
      <c r="F1" t="s">
        <v>34</v>
      </c>
    </row>
    <row r="2" spans="1:6" x14ac:dyDescent="0.25">
      <c r="A2">
        <v>1</v>
      </c>
      <c r="B2" t="s">
        <v>4</v>
      </c>
      <c r="C2">
        <v>330</v>
      </c>
      <c r="D2">
        <v>180</v>
      </c>
      <c r="E2">
        <v>150</v>
      </c>
      <c r="F2">
        <v>1500</v>
      </c>
    </row>
    <row r="3" spans="1:6" x14ac:dyDescent="0.25">
      <c r="A3">
        <v>2</v>
      </c>
      <c r="B3" t="s">
        <v>7</v>
      </c>
      <c r="C3">
        <v>90</v>
      </c>
      <c r="D3">
        <v>60</v>
      </c>
      <c r="E3">
        <v>30</v>
      </c>
      <c r="F3">
        <v>330</v>
      </c>
    </row>
    <row r="4" spans="1:6" x14ac:dyDescent="0.25">
      <c r="A4">
        <v>3</v>
      </c>
      <c r="B4" t="s">
        <v>13</v>
      </c>
      <c r="C4">
        <v>150</v>
      </c>
      <c r="D4">
        <v>110</v>
      </c>
      <c r="E4">
        <v>40</v>
      </c>
      <c r="F4">
        <v>520</v>
      </c>
    </row>
    <row r="5" spans="1:6" x14ac:dyDescent="0.25">
      <c r="A5">
        <v>4</v>
      </c>
      <c r="B5" t="s">
        <v>11</v>
      </c>
      <c r="C5">
        <v>70</v>
      </c>
      <c r="D5">
        <v>60</v>
      </c>
      <c r="E5">
        <v>10</v>
      </c>
      <c r="F5">
        <v>150</v>
      </c>
    </row>
    <row r="6" spans="1:6" x14ac:dyDescent="0.25">
      <c r="A6">
        <v>5</v>
      </c>
      <c r="B6" t="s">
        <v>14</v>
      </c>
      <c r="C6">
        <v>65</v>
      </c>
      <c r="D6">
        <v>55</v>
      </c>
      <c r="E6">
        <v>10</v>
      </c>
      <c r="F6">
        <v>170</v>
      </c>
    </row>
    <row r="7" spans="1:6" x14ac:dyDescent="0.25">
      <c r="A7">
        <v>6</v>
      </c>
      <c r="B7" t="s">
        <v>15</v>
      </c>
      <c r="C7">
        <v>20</v>
      </c>
      <c r="D7">
        <v>20</v>
      </c>
      <c r="E7">
        <v>0</v>
      </c>
      <c r="F7">
        <v>0</v>
      </c>
    </row>
    <row r="8" spans="1:6" x14ac:dyDescent="0.25">
      <c r="A8">
        <v>7</v>
      </c>
      <c r="B8" t="s">
        <v>17</v>
      </c>
      <c r="C8">
        <v>20</v>
      </c>
      <c r="D8">
        <v>20</v>
      </c>
      <c r="E8">
        <v>0</v>
      </c>
      <c r="F8">
        <v>0</v>
      </c>
    </row>
    <row r="9" spans="1:6" x14ac:dyDescent="0.25">
      <c r="A9">
        <v>8</v>
      </c>
      <c r="B9" t="s">
        <v>42</v>
      </c>
      <c r="C9">
        <v>0</v>
      </c>
      <c r="D9">
        <v>0</v>
      </c>
      <c r="E9">
        <v>0</v>
      </c>
      <c r="F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2F19F-2680-4E1A-A6FC-6937D3E4C902}">
  <sheetPr codeName="Sheet6"/>
  <dimension ref="A1:F9"/>
  <sheetViews>
    <sheetView zoomScaleNormal="100" workbookViewId="0">
      <selection activeCell="F28" sqref="F28"/>
    </sheetView>
  </sheetViews>
  <sheetFormatPr defaultRowHeight="15" x14ac:dyDescent="0.25"/>
  <cols>
    <col min="2" max="2" width="13.28515625" bestFit="1" customWidth="1"/>
    <col min="3" max="3" width="8.85546875" bestFit="1" customWidth="1"/>
    <col min="4" max="4" width="8.7109375" bestFit="1" customWidth="1"/>
    <col min="5" max="5" width="13.42578125" bestFit="1" customWidth="1"/>
    <col min="6" max="6" width="10" bestFit="1" customWidth="1"/>
  </cols>
  <sheetData>
    <row r="1" spans="1:6" x14ac:dyDescent="0.25">
      <c r="A1" t="s">
        <v>21</v>
      </c>
      <c r="B1" t="s">
        <v>1</v>
      </c>
      <c r="C1" t="s">
        <v>32</v>
      </c>
      <c r="D1" t="s">
        <v>33</v>
      </c>
      <c r="E1" t="s">
        <v>31</v>
      </c>
      <c r="F1" t="s">
        <v>34</v>
      </c>
    </row>
    <row r="2" spans="1:6" x14ac:dyDescent="0.25">
      <c r="A2">
        <v>1</v>
      </c>
      <c r="B2" t="s">
        <v>4</v>
      </c>
      <c r="C2">
        <v>330</v>
      </c>
      <c r="D2">
        <v>180</v>
      </c>
      <c r="E2">
        <v>150</v>
      </c>
      <c r="F2">
        <v>1500</v>
      </c>
    </row>
    <row r="3" spans="1:6" x14ac:dyDescent="0.25">
      <c r="A3">
        <v>2</v>
      </c>
      <c r="B3" t="s">
        <v>7</v>
      </c>
      <c r="C3">
        <v>90</v>
      </c>
      <c r="D3">
        <v>60</v>
      </c>
      <c r="E3">
        <v>30</v>
      </c>
      <c r="F3">
        <v>330</v>
      </c>
    </row>
    <row r="4" spans="1:6" x14ac:dyDescent="0.25">
      <c r="A4">
        <v>3</v>
      </c>
      <c r="B4" t="s">
        <v>13</v>
      </c>
      <c r="C4">
        <v>150</v>
      </c>
      <c r="D4">
        <v>110</v>
      </c>
      <c r="E4">
        <v>40</v>
      </c>
      <c r="F4">
        <v>520</v>
      </c>
    </row>
    <row r="5" spans="1:6" x14ac:dyDescent="0.25">
      <c r="A5">
        <v>4</v>
      </c>
      <c r="B5" t="s">
        <v>11</v>
      </c>
      <c r="C5">
        <v>70</v>
      </c>
      <c r="D5">
        <v>60</v>
      </c>
      <c r="E5">
        <v>10</v>
      </c>
      <c r="F5">
        <v>150</v>
      </c>
    </row>
    <row r="6" spans="1:6" x14ac:dyDescent="0.25">
      <c r="A6">
        <v>5</v>
      </c>
      <c r="B6" t="s">
        <v>14</v>
      </c>
      <c r="C6">
        <v>65</v>
      </c>
      <c r="D6">
        <v>55</v>
      </c>
      <c r="E6">
        <v>10</v>
      </c>
      <c r="F6">
        <v>170</v>
      </c>
    </row>
    <row r="7" spans="1:6" x14ac:dyDescent="0.25">
      <c r="A7">
        <v>6</v>
      </c>
      <c r="B7" t="s">
        <v>15</v>
      </c>
      <c r="C7">
        <v>20</v>
      </c>
      <c r="D7">
        <v>20</v>
      </c>
      <c r="E7">
        <v>0</v>
      </c>
      <c r="F7">
        <v>0</v>
      </c>
    </row>
    <row r="8" spans="1:6" x14ac:dyDescent="0.25">
      <c r="A8">
        <v>7</v>
      </c>
      <c r="B8" t="s">
        <v>17</v>
      </c>
      <c r="C8">
        <v>20</v>
      </c>
      <c r="D8">
        <v>20</v>
      </c>
      <c r="E8">
        <v>0</v>
      </c>
      <c r="F8">
        <v>0</v>
      </c>
    </row>
    <row r="9" spans="1:6" x14ac:dyDescent="0.25">
      <c r="A9">
        <v>8</v>
      </c>
      <c r="B9" t="s">
        <v>42</v>
      </c>
      <c r="C9">
        <v>0</v>
      </c>
      <c r="D9">
        <v>0</v>
      </c>
      <c r="E9">
        <v>0</v>
      </c>
      <c r="F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BAAB6-8876-40D0-9BE4-E5BE7A72CDB3}">
  <sheetPr codeName="Sheet7"/>
  <dimension ref="B2:D9"/>
  <sheetViews>
    <sheetView workbookViewId="0">
      <selection activeCell="H9" sqref="H9"/>
    </sheetView>
  </sheetViews>
  <sheetFormatPr defaultRowHeight="15" x14ac:dyDescent="0.25"/>
  <cols>
    <col min="2" max="2" width="9.5703125" bestFit="1" customWidth="1"/>
    <col min="3" max="3" width="17.28515625" customWidth="1"/>
    <col min="4" max="4" width="18.28515625" customWidth="1"/>
  </cols>
  <sheetData>
    <row r="2" spans="2:4" x14ac:dyDescent="0.25">
      <c r="B2" t="s">
        <v>37</v>
      </c>
      <c r="D2" s="1">
        <v>43831</v>
      </c>
    </row>
    <row r="3" spans="2:4" x14ac:dyDescent="0.25">
      <c r="B3" t="s">
        <v>38</v>
      </c>
      <c r="D3" s="1">
        <v>45360</v>
      </c>
    </row>
    <row r="5" spans="2:4" x14ac:dyDescent="0.25">
      <c r="B5" t="s">
        <v>29</v>
      </c>
      <c r="D5">
        <f>SUMIFS('Hiển Thị Mua Bán'!D:D,'Hiển Thị Mua Bán'!C:C,"Mua",'Hiển Thị Mua Bán'!H:H,"&gt;=" &amp;'Báo Cáo'!D2,'Hiển Thị Mua Bán'!H:H,"&lt;=" &amp;'Báo Cáo'!D3)</f>
        <v>745</v>
      </c>
    </row>
    <row r="6" spans="2:4" x14ac:dyDescent="0.25">
      <c r="B6" t="s">
        <v>39</v>
      </c>
      <c r="D6">
        <f>SUMIFS('Hiển Thị Mua Bán'!D:D,'Hiển Thị Mua Bán'!C:C,"Ban",'Hiển Thị Mua Bán'!H:H,"&gt;=" &amp;'Báo Cáo'!D2,'Hiển Thị Mua Bán'!H:H,"&lt;=" &amp;'Báo Cáo'!D3)</f>
        <v>505</v>
      </c>
    </row>
    <row r="7" spans="2:4" x14ac:dyDescent="0.25">
      <c r="B7" t="s">
        <v>27</v>
      </c>
      <c r="D7">
        <f>SUMIFS('Hiển Thị Mua Bán'!G:G,'Hiển Thị Mua Bán'!H:H,"&gt;=" &amp;'Báo Cáo'!D2,'Hiển Thị Mua Bán'!H:H,"&lt;=" &amp;'Báo Cáo'!D3)</f>
        <v>-185</v>
      </c>
    </row>
    <row r="8" spans="2:4" x14ac:dyDescent="0.25">
      <c r="B8" t="s">
        <v>40</v>
      </c>
      <c r="D8">
        <f>D5-D6</f>
        <v>240</v>
      </c>
    </row>
    <row r="9" spans="2:4" x14ac:dyDescent="0.25">
      <c r="B9" t="s">
        <v>41</v>
      </c>
      <c r="D9">
        <f>SUM('Hiển Thị Kho'!F:F)</f>
        <v>2670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Quản lý hàng tồn kho</vt:lpstr>
      <vt:lpstr>Sản Phẩm</vt:lpstr>
      <vt:lpstr>Giao Dịch Mua Bán </vt:lpstr>
      <vt:lpstr>Hiển Thị Mua Bán</vt:lpstr>
      <vt:lpstr>Kho</vt:lpstr>
      <vt:lpstr>Hiển Thị Kho</vt:lpstr>
      <vt:lpstr>Báo Cáo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lại dương</cp:lastModifiedBy>
  <dcterms:created xsi:type="dcterms:W3CDTF">2023-07-11T06:15:15Z</dcterms:created>
  <dcterms:modified xsi:type="dcterms:W3CDTF">2024-03-09T08:53:38Z</dcterms:modified>
</cp:coreProperties>
</file>